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Analytics\week-01\"/>
    </mc:Choice>
  </mc:AlternateContent>
  <xr:revisionPtr revIDLastSave="0" documentId="13_ncr:1_{0833372F-259F-48F8-AE34-FF9BB9E24286}" xr6:coauthVersionLast="47" xr6:coauthVersionMax="47" xr10:uidLastSave="{00000000-0000-0000-0000-000000000000}"/>
  <bookViews>
    <workbookView xWindow="-110" yWindow="-110" windowWidth="19420" windowHeight="11500" activeTab="2" xr2:uid="{424FF6AE-B0E6-40F4-A153-FF2E4F097C91}"/>
  </bookViews>
  <sheets>
    <sheet name="BySearchTerm" sheetId="1" r:id="rId1"/>
    <sheet name="ByState" sheetId="2" r:id="rId2"/>
    <sheet name="SalesRegionLookup" sheetId="3" r:id="rId3"/>
  </sheets>
  <definedNames>
    <definedName name="_xlnm._FilterDatabase" localSheetId="0" hidden="1">BySearchTerm!$A$1:$E$52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11" i="3"/>
  <c r="C3" i="3"/>
  <c r="C4" i="3"/>
  <c r="C5" i="3"/>
  <c r="C6" i="3"/>
  <c r="C7" i="3"/>
  <c r="C8" i="3"/>
  <c r="C9" i="3"/>
  <c r="C10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<sst xmlns="http://schemas.openxmlformats.org/spreadsheetml/2006/main" count="154" uniqueCount="68">
  <si>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</si>
  <si>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</si>
  <si>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</si>
  <si>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Alabama</t>
  </si>
  <si>
    <t>Kentucky</t>
  </si>
  <si>
    <t>Tennessee</t>
  </si>
  <si>
    <t>Pennsylvania</t>
  </si>
  <si>
    <t>Utah</t>
  </si>
  <si>
    <t>Delaware</t>
  </si>
  <si>
    <t>Ohio</t>
  </si>
  <si>
    <t>Indiana</t>
  </si>
  <si>
    <t>Illinois</t>
  </si>
  <si>
    <t>West Virginia</t>
  </si>
  <si>
    <t>Virginia</t>
  </si>
  <si>
    <t>Oklahoma</t>
  </si>
  <si>
    <t>Michigan</t>
  </si>
  <si>
    <t>Georgia</t>
  </si>
  <si>
    <t>Nevada</t>
  </si>
  <si>
    <t>Florida</t>
  </si>
  <si>
    <t>Connecticut</t>
  </si>
  <si>
    <t>Rhode Island</t>
  </si>
  <si>
    <t>Mississippi</t>
  </si>
  <si>
    <t>New Jersey</t>
  </si>
  <si>
    <t>Maryland</t>
  </si>
  <si>
    <t>Arkansas</t>
  </si>
  <si>
    <t>Arizona</t>
  </si>
  <si>
    <t>Oregon</t>
  </si>
  <si>
    <t>Missouri</t>
  </si>
  <si>
    <t>Wisconsin</t>
  </si>
  <si>
    <t>Kansas</t>
  </si>
  <si>
    <t>Idaho</t>
  </si>
  <si>
    <t>Texas</t>
  </si>
  <si>
    <t>Louisiana</t>
  </si>
  <si>
    <t>Iowa</t>
  </si>
  <si>
    <t>North Dakota</t>
  </si>
  <si>
    <t>California</t>
  </si>
  <si>
    <t>Nebraska</t>
  </si>
  <si>
    <t>New York</t>
  </si>
  <si>
    <t>Washington</t>
  </si>
  <si>
    <t>New Hampshire</t>
  </si>
  <si>
    <t>Minnesota</t>
  </si>
  <si>
    <t>Colorado</t>
  </si>
  <si>
    <t>New Mexico</t>
  </si>
  <si>
    <t>Massachusetts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</si>
  <si>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</si>
  <si>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</si>
  <si>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</si>
  <si>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</si>
  <si>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</si>
  <si>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</si>
  <si>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</si>
  <si>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</si>
  <si>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</si>
  <si>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</si>
  <si>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>Data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</si>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</sst>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[Ex4A_GTrends_Marketing.xlsx]SalesRegionLookup!PivotTable1</c:name>
    <c:fmtId val="0"/>
  </c:pivotSource>
  <c:chart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SalesRegionLookup!$B$15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SalesRegionLookup!$A$16:$A$26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SalesRegionLookup!$B$16:$B$26</c:f>
              <c:numCache>
                <c:formatCode>0%</c:formatCode>
                <c:ptCount val="10"/>
                <c:pt idx="0">
                  <c:v>0.67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0.68</c:v>
                </c:pt>
                <c:pt idx="7">
                  <c:v>0.75</c:v>
                </c:pt>
                <c:pt idx="8">
                  <c:v>0.67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7-4447-8575-170D78C2F375}"/>
            </c:ext>
          </c:extLst>
        </c:ser>
        <c:ser>
          <c:idx val="1"/>
          <c:order val="1"/>
          <c:tx>
            <c:strRef>
              <c:f>SalesRegionLookup!$C$15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SalesRegionLookup!$A$16:$A$26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SalesRegionLookup!$C$16:$C$26</c:f>
              <c:numCache>
                <c:formatCode>0%</c:formatCode>
                <c:ptCount val="10"/>
                <c:pt idx="0">
                  <c:v>0.19</c:v>
                </c:pt>
                <c:pt idx="1">
                  <c:v>0.22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0.2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7-4447-8575-170D78C2F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589670159"/>
        <c:axId val="1589669679"/>
      </c:barChart>
      <c:catAx>
        <c:axId val="15896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69679"/>
        <c:crosses val="autoZero"/>
        <c:auto val="1"/>
        <c:lblAlgn val="ctr"/>
        <c:lblOffset val="100"/>
        <c:noMultiLvlLbl val="0"/>
      </c:catAx>
      <c:valAx>
        <c:axId val="1589669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6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168275</xdr:rowOff>
    </xdr:from>
    <xdr:to>
      <xdr:col>10</xdr:col>
      <xdr:colOff>568325</xdr:colOff>
      <xdr:row>26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C88D2B-B489-08EB-5C44-63CADEE25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osorio" refreshedDate="46125.51303321759" createdVersion="8" refreshedVersion="8" minRefreshableVersion="3" recordCount="10" xr:uid="{ADC50FB4-CCD6-4E30-B059-CE7263E0AD6F}">
  <cacheSource type="worksheet">
    <worksheetSource ref="A1:D11" sheet="SalesRegion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8"/>
    <n v="0.2"/>
  </r>
  <r>
    <x v="2"/>
    <x v="0"/>
    <n v="0.67"/>
    <n v="0.19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7"/>
    <n v="0.18"/>
  </r>
  <r>
    <x v="8"/>
    <x v="1"/>
    <n v="0.67"/>
    <n v="0.19"/>
  </r>
  <r>
    <x v="9"/>
    <x v="1"/>
    <n v="0.65"/>
    <n v="0.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63B72-E0F3-4E4F-A435-270F986E33A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3412-C342-451A-BCD0-462546B64589}">
  <dimension ref="A1:K52"/>
  <sheetViews>
    <sheetView workbookViewId="0">
      <pane ySplit="1" topLeftCell="A2" activePane="bottomLeft" state="frozen"/>
      <selection pane="bottomLeft" activeCell="G41" sqref="G41"/>
    </sheetView>
  </sheetViews>
  <sheetFormatPr defaultRowHeight="14.5" x14ac:dyDescent="0.35"/>
  <cols>
    <col min="1" max="1" width="10.26953125" bestFit="1" customWidth="1"/>
    <col min="2" max="2" width="17" bestFit="1" customWidth="1"/>
    <col min="3" max="3" width="12.08984375" bestFit="1" customWidth="1"/>
    <col min="4" max="4" width="11.1796875" bestFit="1" customWidth="1"/>
    <col min="5" max="5" width="9.7265625" bestFit="1" customWidth="1"/>
    <col min="6" max="6" width="2.90625" customWidth="1"/>
    <col min="7" max="7" width="10.453125" bestFit="1" customWidth="1"/>
    <col min="9" max="9" width="2.1796875" customWidth="1"/>
    <col min="10" max="10" width="10.08984375" bestFit="1" customWidth="1"/>
    <col min="11" max="11" width="15.453125" bestFit="1" customWidth="1"/>
  </cols>
  <sheetData>
    <row r="1" spans="1:11" x14ac:dyDescent="0.3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25</v>
      </c>
      <c r="C4" s="1">
        <v>0.67</v>
      </c>
      <c r="D4" s="1">
        <v>0.2</v>
      </c>
      <c r="E4" s="1">
        <v>0.13</v>
      </c>
    </row>
    <row r="5" spans="1:11" x14ac:dyDescent="0.35">
      <c r="A5">
        <v>4</v>
      </c>
      <c r="B5" t="s">
        <v>24</v>
      </c>
      <c r="C5" s="1">
        <v>0.65</v>
      </c>
      <c r="D5" s="1">
        <v>0.22</v>
      </c>
      <c r="E5" s="1">
        <v>0.13</v>
      </c>
    </row>
    <row r="6" spans="1:11" x14ac:dyDescent="0.35">
      <c r="A6">
        <v>5</v>
      </c>
      <c r="B6" t="s">
        <v>35</v>
      </c>
      <c r="C6" s="1">
        <v>0.65</v>
      </c>
      <c r="D6" s="1">
        <v>0.19</v>
      </c>
      <c r="E6" s="1">
        <v>0.16</v>
      </c>
    </row>
    <row r="7" spans="1:11" x14ac:dyDescent="0.35">
      <c r="A7">
        <v>6</v>
      </c>
      <c r="B7" t="s">
        <v>41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19</v>
      </c>
      <c r="C8" s="1">
        <v>0.63</v>
      </c>
      <c r="D8" s="1">
        <v>0.22</v>
      </c>
      <c r="E8" s="1">
        <v>0.15</v>
      </c>
    </row>
    <row r="9" spans="1:11" x14ac:dyDescent="0.35">
      <c r="A9">
        <v>8</v>
      </c>
      <c r="B9" t="s">
        <v>8</v>
      </c>
      <c r="C9" s="1">
        <v>0.63</v>
      </c>
      <c r="D9" s="1">
        <v>0.24</v>
      </c>
      <c r="E9" s="1">
        <v>0.13</v>
      </c>
    </row>
    <row r="10" spans="1:11" x14ac:dyDescent="0.3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5">
      <c r="A11">
        <v>10</v>
      </c>
      <c r="B11" t="s">
        <v>18</v>
      </c>
      <c r="C11" s="1">
        <v>0.63</v>
      </c>
      <c r="D11" s="1">
        <v>0.23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0.63</v>
      </c>
      <c r="D12" s="1">
        <v>0.22</v>
      </c>
      <c r="E12" s="1">
        <v>0.15</v>
      </c>
    </row>
    <row r="13" spans="1:11" x14ac:dyDescent="0.35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3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35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10</v>
      </c>
      <c r="C16" s="1">
        <v>0.65</v>
      </c>
      <c r="D16" s="1">
        <v>0.22</v>
      </c>
      <c r="E16" s="1">
        <v>0.13</v>
      </c>
    </row>
    <row r="17" spans="1:5" x14ac:dyDescent="0.35">
      <c r="A17">
        <v>16</v>
      </c>
      <c r="B17" t="s">
        <v>33</v>
      </c>
      <c r="C17" s="1">
        <v>0.67</v>
      </c>
      <c r="D17" s="1">
        <v>0.2</v>
      </c>
      <c r="E17" s="1">
        <v>0.13</v>
      </c>
    </row>
    <row r="18" spans="1:5" x14ac:dyDescent="0.35">
      <c r="A18">
        <v>17</v>
      </c>
      <c r="B18" t="s">
        <v>29</v>
      </c>
      <c r="C18" s="1">
        <v>0.68</v>
      </c>
      <c r="D18" s="1">
        <v>0.19</v>
      </c>
      <c r="E18" s="1">
        <v>0.13</v>
      </c>
    </row>
    <row r="19" spans="1:5" x14ac:dyDescent="0.35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32</v>
      </c>
      <c r="C20" s="1">
        <v>0.69</v>
      </c>
      <c r="D20" s="1">
        <v>0.19</v>
      </c>
      <c r="E20" s="1">
        <v>0.12</v>
      </c>
    </row>
    <row r="21" spans="1:5" x14ac:dyDescent="0.35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23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15</v>
      </c>
      <c r="C24" s="1">
        <v>0.65</v>
      </c>
      <c r="D24" s="1">
        <v>0.22</v>
      </c>
      <c r="E24" s="1">
        <v>0.13</v>
      </c>
    </row>
    <row r="25" spans="1:5" x14ac:dyDescent="0.35">
      <c r="A25">
        <v>24</v>
      </c>
      <c r="B25" t="s">
        <v>40</v>
      </c>
      <c r="C25" s="1">
        <v>0.67</v>
      </c>
      <c r="D25" s="1">
        <v>0.18</v>
      </c>
      <c r="E25" s="1">
        <v>0.15</v>
      </c>
    </row>
    <row r="26" spans="1:5" x14ac:dyDescent="0.35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5">
      <c r="A32">
        <v>31</v>
      </c>
      <c r="B32" t="s">
        <v>22</v>
      </c>
      <c r="C32" s="1">
        <v>0.62</v>
      </c>
      <c r="D32" s="1">
        <v>0.23</v>
      </c>
      <c r="E32" s="1">
        <v>0.15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9</v>
      </c>
      <c r="C37" s="1">
        <v>0.64</v>
      </c>
      <c r="D37" s="1">
        <v>0.23</v>
      </c>
      <c r="E37" s="1">
        <v>0.13</v>
      </c>
    </row>
    <row r="38" spans="1:5" x14ac:dyDescent="0.35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5">
      <c r="A39">
        <v>38</v>
      </c>
      <c r="B39" t="s">
        <v>26</v>
      </c>
      <c r="C39" s="1">
        <v>0.68</v>
      </c>
      <c r="D39" s="1">
        <v>0.2</v>
      </c>
      <c r="E39" s="1">
        <v>0.12</v>
      </c>
    </row>
    <row r="40" spans="1:5" x14ac:dyDescent="0.35">
      <c r="A40">
        <v>39</v>
      </c>
      <c r="B40" t="s">
        <v>6</v>
      </c>
      <c r="C40" s="1">
        <v>0.62</v>
      </c>
      <c r="D40" s="1">
        <v>0.24</v>
      </c>
      <c r="E40" s="1">
        <v>0.14000000000000001</v>
      </c>
    </row>
    <row r="41" spans="1:5" x14ac:dyDescent="0.35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5">
      <c r="A44">
        <v>43</v>
      </c>
      <c r="B44" t="s">
        <v>5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13</v>
      </c>
      <c r="C48" s="1">
        <v>0.62</v>
      </c>
      <c r="D48" s="1">
        <v>0.24</v>
      </c>
      <c r="E48" s="1">
        <v>0.14000000000000001</v>
      </c>
    </row>
    <row r="49" spans="1:5" x14ac:dyDescent="0.35">
      <c r="A49">
        <v>48</v>
      </c>
      <c r="B49" t="s">
        <v>38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28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D7843412-C342-451A-BCD0-462546B6458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3334D-93F2-4467-B379-59B672F889CF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sheetData>
    <row r="1" spans="1:52" x14ac:dyDescent="0.35">
      <c r="A1" t="s">
        <v>0</v>
      </c>
      <c r="B1" t="s">
        <v>3</v>
      </c>
      <c r="C1" t="s">
        <v>50</v>
      </c>
      <c r="D1" t="s">
        <v>25</v>
      </c>
      <c r="E1" t="s">
        <v>24</v>
      </c>
      <c r="F1" t="s">
        <v>35</v>
      </c>
      <c r="G1" t="s">
        <v>41</v>
      </c>
      <c r="H1" t="s">
        <v>19</v>
      </c>
      <c r="I1" t="s">
        <v>8</v>
      </c>
      <c r="J1" t="s">
        <v>51</v>
      </c>
      <c r="K1" t="s">
        <v>18</v>
      </c>
      <c r="L1" t="s">
        <v>16</v>
      </c>
      <c r="M1" t="s">
        <v>49</v>
      </c>
      <c r="N1" t="s">
        <v>30</v>
      </c>
      <c r="O1" t="s">
        <v>11</v>
      </c>
      <c r="P1" t="s">
        <v>10</v>
      </c>
      <c r="Q1" t="s">
        <v>33</v>
      </c>
      <c r="R1" t="s">
        <v>29</v>
      </c>
      <c r="S1" t="s">
        <v>4</v>
      </c>
      <c r="T1" t="s">
        <v>32</v>
      </c>
      <c r="U1" t="s">
        <v>45</v>
      </c>
      <c r="V1" t="s">
        <v>23</v>
      </c>
      <c r="W1" t="s">
        <v>43</v>
      </c>
      <c r="X1" t="s">
        <v>15</v>
      </c>
      <c r="Y1" t="s">
        <v>40</v>
      </c>
      <c r="Z1" t="s">
        <v>21</v>
      </c>
      <c r="AA1" t="s">
        <v>27</v>
      </c>
      <c r="AB1" t="s">
        <v>48</v>
      </c>
      <c r="AC1" t="s">
        <v>36</v>
      </c>
      <c r="AD1" t="s">
        <v>17</v>
      </c>
      <c r="AE1" t="s">
        <v>39</v>
      </c>
      <c r="AF1" t="s">
        <v>22</v>
      </c>
      <c r="AG1" t="s">
        <v>42</v>
      </c>
      <c r="AH1" t="s">
        <v>37</v>
      </c>
      <c r="AI1" t="s">
        <v>2</v>
      </c>
      <c r="AJ1" t="s">
        <v>34</v>
      </c>
      <c r="AK1" t="s">
        <v>9</v>
      </c>
      <c r="AL1" t="s">
        <v>14</v>
      </c>
      <c r="AM1" t="s">
        <v>26</v>
      </c>
      <c r="AN1" t="s">
        <v>6</v>
      </c>
      <c r="AO1" t="s">
        <v>20</v>
      </c>
      <c r="AP1" t="s">
        <v>1</v>
      </c>
      <c r="AQ1" t="s">
        <v>44</v>
      </c>
      <c r="AR1" t="s">
        <v>5</v>
      </c>
      <c r="AS1" t="s">
        <v>31</v>
      </c>
      <c r="AT1" t="s">
        <v>7</v>
      </c>
      <c r="AU1" t="s">
        <v>47</v>
      </c>
      <c r="AV1" t="s">
        <v>13</v>
      </c>
      <c r="AW1" t="s">
        <v>38</v>
      </c>
      <c r="AX1" t="s">
        <v>12</v>
      </c>
      <c r="AY1" t="s">
        <v>28</v>
      </c>
      <c r="AZ1" t="s">
        <v>46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0.65</v>
      </c>
      <c r="F2" s="1">
        <v>0.65</v>
      </c>
      <c r="G2" s="1">
        <v>0.68</v>
      </c>
      <c r="H2" s="1">
        <v>0.63</v>
      </c>
      <c r="I2" s="1">
        <v>0.63</v>
      </c>
      <c r="J2" s="1">
        <v>0.67</v>
      </c>
      <c r="K2" s="1">
        <v>0.63</v>
      </c>
      <c r="L2" s="1">
        <v>0.63</v>
      </c>
      <c r="M2" s="1">
        <v>0.73</v>
      </c>
      <c r="N2" s="1">
        <v>0.67</v>
      </c>
      <c r="O2" s="1">
        <v>0.62</v>
      </c>
      <c r="P2" s="1">
        <v>0.65</v>
      </c>
      <c r="Q2" s="1">
        <v>0.67</v>
      </c>
      <c r="R2" s="1">
        <v>0.68</v>
      </c>
      <c r="S2" s="1">
        <v>0.64</v>
      </c>
      <c r="T2" s="1">
        <v>0.69</v>
      </c>
      <c r="U2" s="1">
        <v>0.69</v>
      </c>
      <c r="V2" s="1">
        <v>0.62</v>
      </c>
      <c r="W2" s="1">
        <v>0.63</v>
      </c>
      <c r="X2" s="1">
        <v>0.65</v>
      </c>
      <c r="Y2" s="1">
        <v>0.67</v>
      </c>
      <c r="Z2" s="1">
        <v>0.67</v>
      </c>
      <c r="AA2" s="1">
        <v>0.67</v>
      </c>
      <c r="AB2" s="1">
        <v>0.75</v>
      </c>
      <c r="AC2" s="1">
        <v>0.69</v>
      </c>
      <c r="AD2" s="1">
        <v>0.67</v>
      </c>
      <c r="AE2" s="1">
        <v>0.67</v>
      </c>
      <c r="AF2" s="1">
        <v>0.62</v>
      </c>
      <c r="AG2" s="1">
        <v>0.67</v>
      </c>
      <c r="AH2" s="1">
        <v>0.62</v>
      </c>
      <c r="AI2" s="1">
        <v>0.64</v>
      </c>
      <c r="AJ2" s="1">
        <v>0.7</v>
      </c>
      <c r="AK2" s="1">
        <v>0.64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0.75</v>
      </c>
      <c r="AR2" s="1">
        <v>0.66</v>
      </c>
      <c r="AS2" s="1">
        <v>0.67</v>
      </c>
      <c r="AT2" s="1">
        <v>0.65</v>
      </c>
      <c r="AU2" s="1">
        <v>0.69</v>
      </c>
      <c r="AV2" s="1">
        <v>0.62</v>
      </c>
      <c r="AW2" s="1">
        <v>0.67</v>
      </c>
      <c r="AX2" s="1">
        <v>0.64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0.2</v>
      </c>
      <c r="E3" s="1">
        <v>0.22</v>
      </c>
      <c r="F3" s="1">
        <v>0.19</v>
      </c>
      <c r="G3" s="1">
        <v>0.18</v>
      </c>
      <c r="H3" s="1">
        <v>0.22</v>
      </c>
      <c r="I3" s="1">
        <v>0.24</v>
      </c>
      <c r="J3" s="1">
        <v>0.17</v>
      </c>
      <c r="K3" s="1">
        <v>0.23</v>
      </c>
      <c r="L3" s="1">
        <v>0.22</v>
      </c>
      <c r="M3" s="1">
        <v>0.14000000000000001</v>
      </c>
      <c r="N3" s="1">
        <v>0.19</v>
      </c>
      <c r="O3" s="1">
        <v>0.23</v>
      </c>
      <c r="P3" s="1">
        <v>0.22</v>
      </c>
      <c r="Q3" s="1">
        <v>0.2</v>
      </c>
      <c r="R3" s="1">
        <v>0.19</v>
      </c>
      <c r="S3" s="1">
        <v>0.23</v>
      </c>
      <c r="T3" s="1">
        <v>0.19</v>
      </c>
      <c r="U3" s="1">
        <v>0.18</v>
      </c>
      <c r="V3" s="1">
        <v>0.23</v>
      </c>
      <c r="W3" s="1">
        <v>0.2</v>
      </c>
      <c r="X3" s="1">
        <v>0.22</v>
      </c>
      <c r="Y3" s="1">
        <v>0.18</v>
      </c>
      <c r="Z3" s="1">
        <v>0.21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0.2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0.17</v>
      </c>
      <c r="AV3" s="1">
        <v>0.24</v>
      </c>
      <c r="AW3" s="1">
        <v>0.18</v>
      </c>
      <c r="AX3" s="1">
        <v>0.23</v>
      </c>
      <c r="AY3" s="1">
        <v>0.19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0.13</v>
      </c>
      <c r="E4" s="1">
        <v>0.13</v>
      </c>
      <c r="F4" s="1">
        <v>0.16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0.15</v>
      </c>
      <c r="M4" s="1">
        <v>0.13</v>
      </c>
      <c r="N4" s="1">
        <v>0.14000000000000001</v>
      </c>
      <c r="O4" s="1">
        <v>0.15</v>
      </c>
      <c r="P4" s="1">
        <v>0.13</v>
      </c>
      <c r="Q4" s="1">
        <v>0.13</v>
      </c>
      <c r="R4" s="1">
        <v>0.13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0.15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0.15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0.13</v>
      </c>
      <c r="AL4" s="1">
        <v>0.12</v>
      </c>
      <c r="AM4" s="1">
        <v>0.12</v>
      </c>
      <c r="AN4" s="1">
        <v>0.14000000000000001</v>
      </c>
      <c r="AO4" s="1">
        <v>0.13</v>
      </c>
      <c r="AP4" s="1">
        <v>0.11</v>
      </c>
      <c r="AQ4" s="1">
        <v>0.11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65D7-A8DD-43FD-A772-4FAA38AC7BC7}">
  <dimension ref="A1:D36"/>
  <sheetViews>
    <sheetView tabSelected="1" zoomScale="90" zoomScaleNormal="90" workbookViewId="0">
      <selection activeCell="J10" sqref="J10"/>
    </sheetView>
  </sheetViews>
  <sheetFormatPr defaultRowHeight="14.5" x14ac:dyDescent="0.35"/>
  <cols>
    <col min="1" max="1" width="12.453125" bestFit="1" customWidth="1"/>
    <col min="2" max="2" width="16.36328125" bestFit="1" customWidth="1"/>
    <col min="3" max="3" width="15.6328125" style="5" bestFit="1" customWidth="1"/>
    <col min="4" max="4" width="8.90625" bestFit="1" customWidth="1"/>
  </cols>
  <sheetData>
    <row r="1" spans="1:4" x14ac:dyDescent="0.35">
      <c r="A1" t="s">
        <v>59</v>
      </c>
      <c r="B1" t="s">
        <v>60</v>
      </c>
      <c r="C1" s="5" t="s">
        <v>56</v>
      </c>
      <c r="D1" t="s">
        <v>57</v>
      </c>
    </row>
    <row r="2" spans="1:4" x14ac:dyDescent="0.35">
      <c r="A2" s="4" t="s">
        <v>38</v>
      </c>
      <c r="B2" t="s">
        <v>61</v>
      </c>
      <c r="C2" s="5">
        <f>VLOOKUP(SalesRegionLookup!A2, BySearchTerm!B:C, 2, FALSE)</f>
        <v>0.67</v>
      </c>
      <c r="D2" s="5">
        <f>_xlfn.XLOOKUP(A2, BySearchTerm!B1:B52, BySearchTerm!D1:D52, "not found")</f>
        <v>0.18</v>
      </c>
    </row>
    <row r="3" spans="1:4" x14ac:dyDescent="0.35">
      <c r="A3" t="s">
        <v>26</v>
      </c>
      <c r="B3" t="s">
        <v>61</v>
      </c>
      <c r="C3" s="5">
        <f>VLOOKUP(SalesRegionLookup!A3, BySearchTerm!B:C, 2, FALSE)</f>
        <v>0.68</v>
      </c>
      <c r="D3" s="5">
        <f>_xlfn.XLOOKUP(A3, BySearchTerm!B2:B53, BySearchTerm!D2:D53, "not found")</f>
        <v>0.2</v>
      </c>
    </row>
    <row r="4" spans="1:4" x14ac:dyDescent="0.35">
      <c r="A4" t="s">
        <v>30</v>
      </c>
      <c r="B4" t="s">
        <v>61</v>
      </c>
      <c r="C4" s="5">
        <f>VLOOKUP(SalesRegionLookup!A4, BySearchTerm!B:C, 2, FALSE)</f>
        <v>0.67</v>
      </c>
      <c r="D4" s="5">
        <f>_xlfn.XLOOKUP(A4, BySearchTerm!B3:B54, BySearchTerm!D3:D54, "not found")</f>
        <v>0.19</v>
      </c>
    </row>
    <row r="5" spans="1:4" x14ac:dyDescent="0.35">
      <c r="A5" t="s">
        <v>48</v>
      </c>
      <c r="B5" t="s">
        <v>61</v>
      </c>
      <c r="C5" s="5">
        <f>VLOOKUP(SalesRegionLookup!A5, BySearchTerm!B:C, 2, FALSE)</f>
        <v>0.75</v>
      </c>
      <c r="D5" s="5">
        <f>_xlfn.XLOOKUP(A5, BySearchTerm!B4:B55, BySearchTerm!D4:D55, "not found")</f>
        <v>0.14000000000000001</v>
      </c>
    </row>
    <row r="6" spans="1:4" x14ac:dyDescent="0.35">
      <c r="A6" t="s">
        <v>34</v>
      </c>
      <c r="B6" t="s">
        <v>62</v>
      </c>
      <c r="C6" s="5">
        <f>VLOOKUP(SalesRegionLookup!A6, BySearchTerm!B:C, 2, FALSE)</f>
        <v>0.7</v>
      </c>
      <c r="D6" s="5">
        <f>_xlfn.XLOOKUP(A6, BySearchTerm!B5:B56, BySearchTerm!D5:D56, "not found")</f>
        <v>0.18</v>
      </c>
    </row>
    <row r="7" spans="1:4" x14ac:dyDescent="0.35">
      <c r="A7" t="s">
        <v>44</v>
      </c>
      <c r="B7" t="s">
        <v>62</v>
      </c>
      <c r="C7" s="5">
        <f>VLOOKUP(SalesRegionLookup!A7, BySearchTerm!B:C, 2, FALSE)</f>
        <v>0.75</v>
      </c>
      <c r="D7" s="5">
        <f>_xlfn.XLOOKUP(A7, BySearchTerm!B6:B57, BySearchTerm!D6:D57, "not found")</f>
        <v>0.14000000000000001</v>
      </c>
    </row>
    <row r="8" spans="1:4" x14ac:dyDescent="0.35">
      <c r="A8" t="s">
        <v>36</v>
      </c>
      <c r="B8" t="s">
        <v>62</v>
      </c>
      <c r="C8" s="5">
        <f>VLOOKUP(SalesRegionLookup!A8, BySearchTerm!B:C, 2, FALSE)</f>
        <v>0.69</v>
      </c>
      <c r="D8" s="5">
        <f>_xlfn.XLOOKUP(A8, BySearchTerm!B7:B58, BySearchTerm!D7:D58, "not found")</f>
        <v>0.18</v>
      </c>
    </row>
    <row r="9" spans="1:4" x14ac:dyDescent="0.35">
      <c r="A9" t="s">
        <v>40</v>
      </c>
      <c r="B9" t="s">
        <v>62</v>
      </c>
      <c r="C9" s="5">
        <f>VLOOKUP(SalesRegionLookup!A9, BySearchTerm!B:C, 2, FALSE)</f>
        <v>0.67</v>
      </c>
      <c r="D9" s="5">
        <f>_xlfn.XLOOKUP(A9, BySearchTerm!B8:B59, BySearchTerm!D8:D59, "not found")</f>
        <v>0.18</v>
      </c>
    </row>
    <row r="10" spans="1:4" x14ac:dyDescent="0.35">
      <c r="A10" t="s">
        <v>28</v>
      </c>
      <c r="B10" t="s">
        <v>62</v>
      </c>
      <c r="C10" s="5">
        <f>VLOOKUP(SalesRegionLookup!A10, BySearchTerm!B:C, 2, FALSE)</f>
        <v>0.67</v>
      </c>
      <c r="D10" s="5">
        <f>_xlfn.XLOOKUP(A10, BySearchTerm!B9:B60, BySearchTerm!D9:D60, "not found")</f>
        <v>0.19</v>
      </c>
    </row>
    <row r="11" spans="1:4" x14ac:dyDescent="0.35">
      <c r="A11" t="s">
        <v>15</v>
      </c>
      <c r="B11" t="s">
        <v>62</v>
      </c>
      <c r="C11" s="5">
        <f>VLOOKUP(SalesRegionLookup!A11, BySearchTerm!B:C, 2, FALSE)</f>
        <v>0.65</v>
      </c>
      <c r="D11" s="5">
        <f>_xlfn.XLOOKUP(A11, BySearchTerm!B10:B61, BySearchTerm!D10:D61, "not found")</f>
        <v>0.22</v>
      </c>
    </row>
    <row r="13" spans="1:4" x14ac:dyDescent="0.35">
      <c r="A13" s="6" t="s">
        <v>60</v>
      </c>
      <c r="B13" t="s">
        <v>67</v>
      </c>
    </row>
    <row r="15" spans="1:4" x14ac:dyDescent="0.35">
      <c r="A15" s="6" t="s">
        <v>63</v>
      </c>
      <c r="B15" t="s">
        <v>65</v>
      </c>
      <c r="C15" t="s">
        <v>66</v>
      </c>
    </row>
    <row r="16" spans="1:4" x14ac:dyDescent="0.35">
      <c r="A16" s="7" t="s">
        <v>30</v>
      </c>
      <c r="B16" s="1">
        <v>0.67</v>
      </c>
      <c r="C16" s="1">
        <v>0.19</v>
      </c>
    </row>
    <row r="17" spans="1:3" x14ac:dyDescent="0.35">
      <c r="A17" s="7" t="s">
        <v>15</v>
      </c>
      <c r="B17" s="1">
        <v>0.65</v>
      </c>
      <c r="C17" s="1">
        <v>0.22</v>
      </c>
    </row>
    <row r="18" spans="1:3" x14ac:dyDescent="0.35">
      <c r="A18" s="7" t="s">
        <v>40</v>
      </c>
      <c r="B18" s="1">
        <v>0.67</v>
      </c>
      <c r="C18" s="1">
        <v>0.18</v>
      </c>
    </row>
    <row r="19" spans="1:3" x14ac:dyDescent="0.35">
      <c r="A19" s="7" t="s">
        <v>48</v>
      </c>
      <c r="B19" s="1">
        <v>0.75</v>
      </c>
      <c r="C19" s="1">
        <v>0.14000000000000001</v>
      </c>
    </row>
    <row r="20" spans="1:3" x14ac:dyDescent="0.35">
      <c r="A20" s="7" t="s">
        <v>36</v>
      </c>
      <c r="B20" s="1">
        <v>0.69</v>
      </c>
      <c r="C20" s="1">
        <v>0.18</v>
      </c>
    </row>
    <row r="21" spans="1:3" x14ac:dyDescent="0.35">
      <c r="A21" s="7" t="s">
        <v>34</v>
      </c>
      <c r="B21" s="1">
        <v>0.7</v>
      </c>
      <c r="C21" s="1">
        <v>0.18</v>
      </c>
    </row>
    <row r="22" spans="1:3" x14ac:dyDescent="0.35">
      <c r="A22" s="7" t="s">
        <v>26</v>
      </c>
      <c r="B22" s="1">
        <v>0.68</v>
      </c>
      <c r="C22" s="1">
        <v>0.2</v>
      </c>
    </row>
    <row r="23" spans="1:3" x14ac:dyDescent="0.35">
      <c r="A23" s="7" t="s">
        <v>44</v>
      </c>
      <c r="B23" s="1">
        <v>0.75</v>
      </c>
      <c r="C23" s="1">
        <v>0.14000000000000001</v>
      </c>
    </row>
    <row r="24" spans="1:3" x14ac:dyDescent="0.35">
      <c r="A24" s="7" t="s">
        <v>38</v>
      </c>
      <c r="B24" s="1">
        <v>0.67</v>
      </c>
      <c r="C24" s="1">
        <v>0.18</v>
      </c>
    </row>
    <row r="25" spans="1:3" x14ac:dyDescent="0.35">
      <c r="A25" s="7" t="s">
        <v>28</v>
      </c>
      <c r="B25" s="1">
        <v>0.67</v>
      </c>
      <c r="C25" s="1">
        <v>0.19</v>
      </c>
    </row>
    <row r="26" spans="1:3" x14ac:dyDescent="0.35">
      <c r="A26" s="7" t="s">
        <v>64</v>
      </c>
      <c r="B26" s="1">
        <v>6.8999999999999995</v>
      </c>
      <c r="C26" s="1">
        <v>1.8</v>
      </c>
    </row>
    <row r="27" spans="1:3" x14ac:dyDescent="0.35">
      <c r="C27"/>
    </row>
    <row r="28" spans="1:3" x14ac:dyDescent="0.35">
      <c r="C28"/>
    </row>
    <row r="29" spans="1:3" x14ac:dyDescent="0.35">
      <c r="C29"/>
    </row>
    <row r="30" spans="1:3" x14ac:dyDescent="0.35">
      <c r="C30"/>
    </row>
    <row r="31" spans="1:3" x14ac:dyDescent="0.35">
      <c r="C31"/>
    </row>
    <row r="32" spans="1:3" x14ac:dyDescent="0.35">
      <c r="C32"/>
    </row>
    <row r="33" spans="3:3" x14ac:dyDescent="0.35">
      <c r="C33"/>
    </row>
    <row r="34" spans="3:3" x14ac:dyDescent="0.35">
      <c r="C34"/>
    </row>
    <row r="35" spans="3:3" x14ac:dyDescent="0.35">
      <c r="C35"/>
    </row>
    <row r="36" spans="3:3" x14ac:dyDescent="0.35">
      <c r="C36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BySearchTerm</vt:lpstr>
      <vt:lpstr>ByState</vt:lpstr>
      <vt:lpstr>SalesRegionLookup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2026-04-13T16:36:02Z</dcterms:created>
  <dcterms:modified xsi:type="dcterms:W3CDTF">2026-04-13T18:24:20Z</dcterms:modified>
</cp:coreProperties>
</file>