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1\"/>
    </mc:Choice>
  </mc:AlternateContent>
  <xr:revisionPtr revIDLastSave="0" documentId="13_ncr:1_{F1AD3B1A-CC00-449F-8780-9CEC373A511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2" r:id="rId1"/>
    <sheet name="Sheet1" sheetId="1" r:id="rId2"/>
  </sheet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<sst xmlns="http://schemas.openxmlformats.org/spreadsheetml/2006/main" count="130" uniqueCount="67">
  <si>
    <t>Id</t>
  </si>
  <si>
    <t>Start time</t>
  </si>
  <si>
    <t>Completion time</t>
  </si>
  <si>
    <t>Email</t>
  </si>
  <si>
    <t>Name</t>
  </si>
  <si>
    <t>Language</t>
  </si>
  <si>
    <t>How often do you visit us?</t>
  </si>
  <si>
    <t>What is your age group?</t>
  </si>
  <si>
    <t>Overall, how satisfied are you with the idea of monitoring the situation?</t>
  </si>
  <si>
    <t>How strongly do you agree or disagree with the following statements around this specific bar?.I am familiar with Polymarket</t>
  </si>
  <si>
    <t>How strongly do you agree or disagree with the following statements around this specific bar?.I am am familiar with X and it's live feed</t>
  </si>
  <si>
    <t>How strongly do you agree or disagree with the following statements around this specific bar?.I am familiar with a Bloomberg Terminal</t>
  </si>
  <si>
    <t>How strongly do you agree or disagree with the following statements around this specific bar?.I enjoy and watch sports</t>
  </si>
  <si>
    <t>Are you a gambler?</t>
  </si>
  <si>
    <t>How likely are you to join our rewards program?</t>
  </si>
  <si>
    <t>Which rewards interest you the most?</t>
  </si>
  <si>
    <t>How likely are you to recommend "The Situation Room" to a friend or colleague?</t>
  </si>
  <si>
    <t>What would you add to make this a better experience?</t>
  </si>
  <si>
    <t>kmarsh1@my.yearupunited.org</t>
  </si>
  <si>
    <t>kiersten marsh</t>
  </si>
  <si>
    <t>English (United States)‎</t>
  </si>
  <si>
    <t>Often</t>
  </si>
  <si>
    <t>21-24</t>
  </si>
  <si>
    <t>Somewhat satisfied</t>
  </si>
  <si>
    <t xml:space="preserve">Neither agree nor disagree </t>
  </si>
  <si>
    <t>Agree</t>
  </si>
  <si>
    <t>Disagree</t>
  </si>
  <si>
    <t>No</t>
  </si>
  <si>
    <t>Very likely</t>
  </si>
  <si>
    <t>Free Meal</t>
  </si>
  <si>
    <t>okaraer@my.yearupunited.org</t>
  </si>
  <si>
    <t>onur karaer</t>
  </si>
  <si>
    <t>Occasionally</t>
  </si>
  <si>
    <t>27-49</t>
  </si>
  <si>
    <t>Maybe</t>
  </si>
  <si>
    <t>Very unlikely</t>
  </si>
  <si>
    <t>$1-100 Bonus Bet </t>
  </si>
  <si>
    <t>lpham1@my.yearupunited.org</t>
  </si>
  <si>
    <t>longley pham</t>
  </si>
  <si>
    <t>Rarely</t>
  </si>
  <si>
    <t>24-27</t>
  </si>
  <si>
    <t>Yes</t>
  </si>
  <si>
    <t>jalmarazflores@my.yearupunited.org</t>
  </si>
  <si>
    <t>julissa almarazflores</t>
  </si>
  <si>
    <t>Neither satisfied nor dissatisfied</t>
  </si>
  <si>
    <t>Free Drink</t>
  </si>
  <si>
    <t>tarista@my.yearupunited.org</t>
  </si>
  <si>
    <t>tracy arista</t>
  </si>
  <si>
    <t>Never</t>
  </si>
  <si>
    <t>Neither likely nor unlikely</t>
  </si>
  <si>
    <t>sbowens@my.yearupunited.org</t>
  </si>
  <si>
    <t>shaquan bowens</t>
  </si>
  <si>
    <t>Sometimes</t>
  </si>
  <si>
    <t>Strongly agree</t>
  </si>
  <si>
    <t xml:space="preserve">More obscure betting options. </t>
  </si>
  <si>
    <t>jnavarroservin@my.yearupunited.org</t>
  </si>
  <si>
    <t>jessica navarroservin</t>
  </si>
  <si>
    <t>Somewhat dissatisfied</t>
  </si>
  <si>
    <t>asago@my.yearupunited.org</t>
  </si>
  <si>
    <t>antwaushea sago</t>
  </si>
  <si>
    <t>Strongly disagree</t>
  </si>
  <si>
    <t>Somewhat likely</t>
  </si>
  <si>
    <t>Time To Complete</t>
  </si>
  <si>
    <t>=COUNTIF(J2:J9, "Somewhat satisfied")</t>
  </si>
  <si>
    <t>Row Labels</t>
  </si>
  <si>
    <t>Grand Total</t>
  </si>
  <si>
    <t>=countif([Are you a gambler?], "Yes"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</si>
</sst>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45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1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35">
    <dxf>
      <numFmt numFmtId="2" formatCode="0.00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5" formatCode="m/d/yyyy\ h:mm:ss"/>
    </dxf>
    <dxf>
      <numFmt numFmtId="165" formatCode="m/d/yyyy\ h:mm:ss"/>
    </dxf>
    <dxf>
      <numFmt numFmtId="0" formatCode="General"/>
    </dxf>
    <dxf>
      <numFmt numFmtId="28" formatCode="mm:ss"/>
    </dxf>
    <dxf>
      <numFmt numFmtId="165" formatCode="m/d/yyyy\ h:mm:ss"/>
    </dxf>
    <dxf>
      <numFmt numFmtId="165" formatCode="m/d/yyyy\ h:mm:ss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[Ex3C_SurveyResults.xlsx]Sheet2!PivotTable1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75087"/>
        <c:axId val="30176527"/>
      </c:barChart>
      <c:catAx>
        <c:axId val="3017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6527"/>
        <c:crosses val="autoZero"/>
        <c:auto val="1"/>
        <c:lblAlgn val="ctr"/>
        <c:lblOffset val="100"/>
        <c:noMultiLvlLbl val="0"/>
      </c:catAx>
      <c:valAx>
        <c:axId val="301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AD089-173E-A970-CE78-015548393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25.531184027779" createdVersion="8" refreshedVersion="8" minRefreshableVersion="3" recordCount="8" xr:uid="{4B3AE84A-F36C-4DFE-A007-EF8622D24670}">
  <cacheSource type="worksheet">
    <worksheetSource name="OfficeForms.Table"/>
  </cacheSource>
  <cacheFields count="19">
    <cacheField name="Id" numFmtId="0">
      <sharedItems containsSemiMixedTypes="0" containsString="0" containsNumber="1" containsInteger="1" minValue="1" maxValue="8"/>
    </cacheField>
    <cacheField name="Start time" numFmtId="165">
      <sharedItems containsSemiMixedTypes="0" containsNonDate="0" containsDate="1" containsString="0" minDate="2026-04-10T12:59:11" maxDate="2026-04-12T18:01:23"/>
    </cacheField>
    <cacheField name="Completion time" numFmtId="165">
      <sharedItems containsSemiMixedTypes="0" containsNonDate="0" containsDate="1" containsString="0" minDate="2026-04-10T13:00:31" maxDate="2026-04-12T18:02:33"/>
    </cacheField>
    <cacheField name="Time To Complete" numFmtId="45">
      <sharedItems containsSemiMixedTypes="0" containsNonDate="0" containsDate="1" containsString="0" minDate="1899-12-30T00:00:25" maxDate="1899-12-30T00:02:29"/>
    </cacheField>
    <cacheField name="Email" numFmtId="0">
      <sharedItems/>
    </cacheField>
    <cacheField name="Name" numFmtId="0">
      <sharedItems/>
    </cacheField>
    <cacheField name="Language" numFmtId="0">
      <sharedItems/>
    </cacheField>
    <cacheField name="How often do you visit us?" numFmtId="0">
      <sharedItems/>
    </cacheField>
    <cacheField name="What is your age group?" numFmtId="0">
      <sharedItems/>
    </cacheField>
    <cacheField name="Overall, how satisfied are you with the idea of monitoring the situation?" numFmtId="0">
      <sharedItems/>
    </cacheField>
    <cacheField name="How strongly do you agree or disagree with the following statements around this specific bar?.I am familiar with Polymarket" numFmtId="0">
      <sharedItems/>
    </cacheField>
    <cacheField name="How strongly do you agree or disagree with the following statements around this specific bar?.I am am familiar with X and it's live feed" numFmtId="0">
      <sharedItems/>
    </cacheField>
    <cacheField name="How strongly do you agree or disagree with the following statements around this specific bar?.I am familiar with a Bloomberg Terminal" numFmtId="0">
      <sharedItems containsBlank="1"/>
    </cacheField>
    <cacheField name="How strongly do you agree or disagree with the following statements around this specific bar?.I enjoy and watch sports" numFmtId="0">
      <sharedItems/>
    </cacheField>
    <cacheField name="Are you a gambler?" numFmtId="0">
      <sharedItems count="3">
        <s v="No"/>
        <s v="Maybe"/>
        <s v="Yes"/>
      </sharedItems>
    </cacheField>
    <cacheField name="How likely are you to join our rewards program?" numFmtId="0">
      <sharedItems/>
    </cacheField>
    <cacheField name="Which rewards interest you the most?" numFmtId="0">
      <sharedItems/>
    </cacheField>
    <cacheField name="How likely are you to recommend &quot;The Situation Room&quot; to a friend or colleague?" numFmtId="0">
      <sharedItems containsSemiMixedTypes="0" containsString="0" containsNumber="1" containsInteger="1" minValue="3" maxValue="10"/>
    </cacheField>
    <cacheField name="What would you add to make this a better experienc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d v="2026-04-10T12:59:11"/>
    <d v="2026-04-10T13:00:31"/>
    <d v="1899-12-30T00:01:20"/>
    <s v="kmarsh1@my.yearupunited.org"/>
    <s v="kiersten marsh"/>
    <s v="English (United States)‎"/>
    <s v="Often"/>
    <s v="21-24"/>
    <s v="Somewhat satisfied"/>
    <s v="Neither agree nor disagree "/>
    <s v="Agree"/>
    <s v="Neither agree nor disagree "/>
    <s v="Disagree"/>
    <x v="0"/>
    <s v="Very likely"/>
    <s v="Free Meal"/>
    <n v="10"/>
    <m/>
  </r>
  <r>
    <n v="2"/>
    <d v="2026-04-10T14:04:58"/>
    <d v="2026-04-10T14:05:46"/>
    <d v="1899-12-30T00:00:48"/>
    <s v="okaraer@my.yearupunited.org"/>
    <s v="onur karaer"/>
    <s v="English (United States)‎"/>
    <s v="Occasionally"/>
    <s v="27-49"/>
    <s v="Somewhat satisfied"/>
    <s v="Agree"/>
    <s v="Disagree"/>
    <m/>
    <s v="Agree"/>
    <x v="1"/>
    <s v="Very unlikely"/>
    <s v="$1-100 Bonus Bet "/>
    <n v="6"/>
    <m/>
  </r>
  <r>
    <n v="3"/>
    <d v="2026-04-10T14:28:11"/>
    <d v="2026-04-10T14:28:45"/>
    <d v="1899-12-30T00:00:34"/>
    <s v="lpham1@my.yearupunited.org"/>
    <s v="longley pham"/>
    <s v="English (United States)‎"/>
    <s v="Rarely"/>
    <s v="24-27"/>
    <s v="Somewhat satisfied"/>
    <s v="Disagree"/>
    <s v="Disagree"/>
    <s v="Agree"/>
    <s v="Agree"/>
    <x v="2"/>
    <s v="Very likely"/>
    <s v="$1-100 Bonus Bet "/>
    <n v="6"/>
    <m/>
  </r>
  <r>
    <n v="4"/>
    <d v="2026-04-10T14:42:35"/>
    <d v="2026-04-10T14:43:27"/>
    <d v="1899-12-30T00:00:52"/>
    <s v="jalmarazflores@my.yearupunited.org"/>
    <s v="julissa almarazflores"/>
    <s v="English (United States)‎"/>
    <s v="Occasionally"/>
    <s v="24-27"/>
    <s v="Neither satisfied nor dissatisfied"/>
    <s v="Disagree"/>
    <s v="Disagree"/>
    <s v="Neither agree nor disagree "/>
    <s v="Neither agree nor disagree "/>
    <x v="1"/>
    <s v="Very unlikely"/>
    <s v="Free Drink"/>
    <n v="5"/>
    <m/>
  </r>
  <r>
    <n v="5"/>
    <d v="2026-04-10T15:03:04"/>
    <d v="2026-04-10T15:05:33"/>
    <d v="1899-12-30T00:02:29"/>
    <s v="tarista@my.yearupunited.org"/>
    <s v="tracy arista"/>
    <s v="English (United States)‎"/>
    <s v="Never"/>
    <s v="27-49"/>
    <s v="Neither satisfied nor dissatisfied"/>
    <s v="Disagree"/>
    <s v="Disagree"/>
    <s v="Disagree"/>
    <s v="Neither agree nor disagree "/>
    <x v="2"/>
    <s v="Neither likely nor unlikely"/>
    <s v="$1-100 Bonus Bet "/>
    <n v="3"/>
    <m/>
  </r>
  <r>
    <n v="6"/>
    <d v="2026-04-10T15:13:13"/>
    <d v="2026-04-10T15:14:41"/>
    <d v="1899-12-30T00:01:28"/>
    <s v="sbowens@my.yearupunited.org"/>
    <s v="shaquan bowens"/>
    <s v="English (United States)‎"/>
    <s v="Sometimes"/>
    <s v="21-24"/>
    <s v="Somewhat satisfied"/>
    <s v="Neither agree nor disagree "/>
    <s v="Agree"/>
    <s v="Disagree"/>
    <s v="Strongly agree"/>
    <x v="2"/>
    <s v="Very likely"/>
    <s v="$1-100 Bonus Bet "/>
    <n v="7"/>
    <s v="More obscure betting options. "/>
  </r>
  <r>
    <n v="7"/>
    <d v="2026-04-12T13:25:28"/>
    <d v="2026-04-12T13:25:53"/>
    <d v="1899-12-30T00:00:25"/>
    <s v="jnavarroservin@my.yearupunited.org"/>
    <s v="jessica navarroservin"/>
    <s v="English (United States)‎"/>
    <s v="Occasionally"/>
    <s v="24-27"/>
    <s v="Somewhat dissatisfied"/>
    <s v="Agree"/>
    <s v="Disagree"/>
    <s v="Agree"/>
    <s v="Strongly agree"/>
    <x v="1"/>
    <s v="Neither likely nor unlikely"/>
    <s v="$1-100 Bonus Bet "/>
    <n v="7"/>
    <m/>
  </r>
  <r>
    <n v="8"/>
    <d v="2026-04-12T18:01:23"/>
    <d v="2026-04-12T18:02:33"/>
    <d v="1899-12-30T00:01:10"/>
    <s v="asago@my.yearupunited.org"/>
    <s v="antwaushea sago"/>
    <s v="English (United States)‎"/>
    <s v="Sometimes"/>
    <s v="27-49"/>
    <s v="Somewhat satisfied"/>
    <s v="Disagree"/>
    <s v="Agree"/>
    <s v="Disagree"/>
    <s v="Strongly disagree"/>
    <x v="0"/>
    <s v="Somewhat likely"/>
    <s v="$1-100 Bonus Bet "/>
    <n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F2208-70F1-4EA0-B6EC-D97C5D5D19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5" firstHeaderRow="1" firstDataRow="1" firstDataCol="1"/>
  <pivotFields count="19">
    <pivotField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S10" totalsRowCount="1">
  <autoFilter ref="A1:S9" xr:uid="{00000000-0009-0000-0100-000001000000}"/>
  <tableColumns count="19">
    <tableColumn id="1" xr3:uid="{00000000-0010-0000-0000-000001000000}" name="Id" dataDxfId="19" totalsRow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8" totalsRowDxfId="1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7" totalsRowDxfId="13">
      <extLst>
        <ext xmlns:xlmsforms="http://schemas.microsoft.com/office/spreadsheetml/2023/msForms" uri="{FCC71383-01E1-4257-9335-427F07BE8D7F}">
          <xlmsforms:question id="submitDate"/>
        </ext>
      </extLst>
    </tableColumn>
    <tableColumn id="19" xr3:uid="{B540A476-BBEC-494C-A877-38FAE8082675}" name="Time To Complete" totalsRowFunction="custom" dataDxfId="16" totalsRowDxfId="12">
      <calculatedColumnFormula>C2-B2</calculatedColumnFormula>
      <totalsRowFormula>AVERAGE(D2:D9)</totalsRowFormula>
    </tableColumn>
    <tableColumn id="4" xr3:uid="{00000000-0010-0000-0000-000004000000}" name="Email" dataDxfId="34" totalsRow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3" totalsRow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32" totalsRowDxfId="9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How often do you visit us?" dataDxfId="31" totalsRowDxfId="8">
      <extLst>
        <ext xmlns:xlmsforms="http://schemas.microsoft.com/office/spreadsheetml/2023/msForms" uri="{FCC71383-01E1-4257-9335-427F07BE8D7F}">
          <xlmsforms:question id="rc431db57ed334582bc5c6c38fdc83c64"/>
        </ext>
      </extLst>
    </tableColumn>
    <tableColumn id="8" xr3:uid="{00000000-0010-0000-0000-000008000000}" name="What is your age group?" dataDxfId="30" totalsRowDxfId="7">
      <extLst>
        <ext xmlns:xlmsforms="http://schemas.microsoft.com/office/spreadsheetml/2023/msForms" uri="{FCC71383-01E1-4257-9335-427F07BE8D7F}">
          <xlmsforms:question id="r4f5121bf23274e80a9bc095f118ea8f3"/>
        </ext>
      </extLst>
    </tableColumn>
    <tableColumn id="9" xr3:uid="{00000000-0010-0000-0000-000009000000}" name="Overall, how satisfied are you with the idea of monitoring the situation?" dataDxfId="29">
      <extLst>
        <ext xmlns:xlmsforms="http://schemas.microsoft.com/office/spreadsheetml/2023/msForms" uri="{FCC71383-01E1-4257-9335-427F07BE8D7F}">
          <xlmsforms:question id="r86a2f8dd9f4649a0a3327d7e459e5615"/>
        </ext>
      </extLst>
    </tableColumn>
    <tableColumn id="10" xr3:uid="{00000000-0010-0000-0000-00000A000000}" name="How strongly do you agree or disagree with the following statements around this specific bar?.I am familiar with Polymarket" dataDxfId="28">
      <extLst>
        <ext xmlns:xlmsforms="http://schemas.microsoft.com/office/spreadsheetml/2023/msForms" uri="{FCC71383-01E1-4257-9335-427F07BE8D7F}">
          <xlmsforms:question id="rb13b52bb0cc2432ba047e6c5eaacc8a8"/>
        </ext>
      </extLst>
    </tableColumn>
    <tableColumn id="11" xr3:uid="{00000000-0010-0000-0000-00000B000000}" name="How strongly do you agree or disagree with the following statements around this specific bar?.I am am familiar with X and it's live feed" dataDxfId="27">
      <extLst>
        <ext xmlns:xlmsforms="http://schemas.microsoft.com/office/spreadsheetml/2023/msForms" uri="{FCC71383-01E1-4257-9335-427F07BE8D7F}">
          <xlmsforms:question id="r19455705c32a492d9a99d0050d00afb0"/>
        </ext>
      </extLst>
    </tableColumn>
    <tableColumn id="12" xr3:uid="{00000000-0010-0000-0000-00000C000000}" name="How strongly do you agree or disagree with the following statements around this specific bar?.I am familiar with a Bloomberg Terminal" dataDxfId="26" totalsRowDxfId="6">
      <extLst>
        <ext xmlns:xlmsforms="http://schemas.microsoft.com/office/spreadsheetml/2023/msForms" uri="{FCC71383-01E1-4257-9335-427F07BE8D7F}">
          <xlmsforms:question id="r4e39ec8855f14f32aadf2d2a6baf06c9"/>
        </ext>
      </extLst>
    </tableColumn>
    <tableColumn id="13" xr3:uid="{00000000-0010-0000-0000-00000D000000}" name="How strongly do you agree or disagree with the following statements around this specific bar?.I enjoy and watch sports" dataDxfId="25" totalsRowDxfId="5">
      <extLst>
        <ext xmlns:xlmsforms="http://schemas.microsoft.com/office/spreadsheetml/2023/msForms" uri="{FCC71383-01E1-4257-9335-427F07BE8D7F}">
          <xlmsforms:question id="r0139bd1c01664392801aa6e4fb936cee"/>
        </ext>
      </extLst>
    </tableColumn>
    <tableColumn id="14" xr3:uid="{00000000-0010-0000-0000-00000E000000}" name="Are you a gambler?" totalsRowLabel="=countif([Are you a gambler?], &quot;Yes&quot; )" dataDxfId="24" totalsRowDxfId="0">
      <extLst>
        <ext xmlns:xlmsforms="http://schemas.microsoft.com/office/spreadsheetml/2023/msForms" uri="{FCC71383-01E1-4257-9335-427F07BE8D7F}">
          <xlmsforms:question id="r018890c6500d4bfc98cfcdfd6e56b921"/>
        </ext>
      </extLst>
    </tableColumn>
    <tableColumn id="15" xr3:uid="{00000000-0010-0000-0000-00000F000000}" name="How likely are you to join our rewards program?" dataDxfId="23" totalsRowDxfId="4">
      <extLst>
        <ext xmlns:xlmsforms="http://schemas.microsoft.com/office/spreadsheetml/2023/msForms" uri="{FCC71383-01E1-4257-9335-427F07BE8D7F}">
          <xlmsforms:question id="r61d7528de8c84e17a3f681229104703d"/>
        </ext>
      </extLst>
    </tableColumn>
    <tableColumn id="16" xr3:uid="{00000000-0010-0000-0000-000010000000}" name="Which rewards interest you the most?" dataDxfId="22" totalsRowDxfId="3">
      <extLst>
        <ext xmlns:xlmsforms="http://schemas.microsoft.com/office/spreadsheetml/2023/msForms" uri="{FCC71383-01E1-4257-9335-427F07BE8D7F}">
          <xlmsforms:question id="r42bc9312e159432ba4335adcea04e2a6"/>
        </ext>
      </extLst>
    </tableColumn>
    <tableColumn id="17" xr3:uid="{00000000-0010-0000-0000-000011000000}" name="How likely are you to recommend &quot;The Situation Room&quot; to a friend or colleague?" dataDxfId="21" totalsRowDxfId="2">
      <extLst>
        <ext xmlns:xlmsforms="http://schemas.microsoft.com/office/spreadsheetml/2023/msForms" uri="{FCC71383-01E1-4257-9335-427F07BE8D7F}">
          <xlmsforms:question id="rfa50d4516a6a4a769534ea482512dd0b"/>
        </ext>
      </extLst>
    </tableColumn>
    <tableColumn id="18" xr3:uid="{00000000-0010-0000-0000-000012000000}" name="What would you add to make this a better experience?" dataDxfId="20" totalsRowDxfId="1">
      <extLst>
        <ext xmlns:xlmsforms="http://schemas.microsoft.com/office/spreadsheetml/2023/msForms" uri="{FCC71383-01E1-4257-9335-427F07BE8D7F}">
          <xlmsforms:question id="rf55a8d29143b4155ab580535c77d2f9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_rD5HhVUq1Ps7OGrBMUucNUQlNMOVhEMjhEV0ozUEdIQllDODFTRktYWi4u" isFormConnected="1" maxResponseId="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rc431db57ed334582bc5c6c38fdc83c64</xlmsforms:syncedQuestionId>
        <xlmsforms:syncedQuestionId>r4f5121bf23274e80a9bc095f118ea8f3</xlmsforms:syncedQuestionId>
        <xlmsforms:syncedQuestionId>r86a2f8dd9f4649a0a3327d7e459e5615</xlmsforms:syncedQuestionId>
        <xlmsforms:syncedQuestionId>rb13b52bb0cc2432ba047e6c5eaacc8a8</xlmsforms:syncedQuestionId>
        <xlmsforms:syncedQuestionId>r19455705c32a492d9a99d0050d00afb0</xlmsforms:syncedQuestionId>
        <xlmsforms:syncedQuestionId>r4e39ec8855f14f32aadf2d2a6baf06c9</xlmsforms:syncedQuestionId>
        <xlmsforms:syncedQuestionId>r0139bd1c01664392801aa6e4fb936cee</xlmsforms:syncedQuestionId>
        <xlmsforms:syncedQuestionId>r018890c6500d4bfc98cfcdfd6e56b921</xlmsforms:syncedQuestionId>
        <xlmsforms:syncedQuestionId>r61d7528de8c84e17a3f681229104703d</xlmsforms:syncedQuestionId>
        <xlmsforms:syncedQuestionId>r42bc9312e159432ba4335adcea04e2a6</xlmsforms:syncedQuestionId>
        <xlmsforms:syncedQuestionId>rfa50d4516a6a4a769534ea482512dd0b</xlmsforms:syncedQuestionId>
        <xlmsforms:syncedQuestionId>rf55a8d29143b4155ab580535c77d2f9d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5A1-8622-4CF1-82AC-152D18EF86AD}">
  <dimension ref="A1:A5"/>
  <sheetViews>
    <sheetView workbookViewId="0"/>
  </sheetViews>
  <sheetFormatPr defaultRowHeight="14.5" x14ac:dyDescent="0.35"/>
  <cols>
    <col min="1" max="1" width="12.36328125" bestFit="1" customWidth="1"/>
  </cols>
  <sheetData>
    <row r="1" spans="1:1" x14ac:dyDescent="0.35">
      <c r="A1" s="5" t="s">
        <v>64</v>
      </c>
    </row>
    <row r="2" spans="1:1" x14ac:dyDescent="0.35">
      <c r="A2" s="6" t="s">
        <v>34</v>
      </c>
    </row>
    <row r="3" spans="1:1" x14ac:dyDescent="0.35">
      <c r="A3" s="6" t="s">
        <v>27</v>
      </c>
    </row>
    <row r="4" spans="1:1" x14ac:dyDescent="0.35">
      <c r="A4" s="6" t="s">
        <v>41</v>
      </c>
    </row>
    <row r="5" spans="1:1" x14ac:dyDescent="0.35">
      <c r="A5" s="6" t="s">
        <v>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I1" workbookViewId="0">
      <selection activeCell="N10" sqref="N10"/>
    </sheetView>
  </sheetViews>
  <sheetFormatPr defaultRowHeight="14.5" x14ac:dyDescent="0.35"/>
  <cols>
    <col min="1" max="1" width="20" bestFit="1" customWidth="1"/>
    <col min="2" max="2" width="20" style="1" bestFit="1" customWidth="1"/>
    <col min="3" max="3" width="20" bestFit="1" customWidth="1"/>
    <col min="4" max="4" width="15.08984375" bestFit="1" customWidth="1"/>
    <col min="5" max="5" width="32.6328125" bestFit="1" customWidth="1"/>
    <col min="6" max="19" width="20" bestFit="1" customWidth="1"/>
  </cols>
  <sheetData>
    <row r="1" spans="1:19" x14ac:dyDescent="0.35">
      <c r="A1" t="s">
        <v>0</v>
      </c>
      <c r="B1" s="1" t="s">
        <v>1</v>
      </c>
      <c r="C1" t="s">
        <v>2</v>
      </c>
      <c r="D1" t="s">
        <v>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>
        <v>1</v>
      </c>
      <c r="B2" s="1">
        <v>46122.54109953704</v>
      </c>
      <c r="C2" s="1">
        <v>46122.542025462964</v>
      </c>
      <c r="D2" s="2">
        <f t="shared" ref="D2:D9" si="0">C2-B2</f>
        <v>9.2592592409346253E-4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24</v>
      </c>
      <c r="N2" t="s">
        <v>26</v>
      </c>
      <c r="O2" t="s">
        <v>27</v>
      </c>
      <c r="P2" t="s">
        <v>28</v>
      </c>
      <c r="Q2" t="s">
        <v>29</v>
      </c>
      <c r="R2">
        <v>10</v>
      </c>
    </row>
    <row r="3" spans="1:19" x14ac:dyDescent="0.35">
      <c r="A3">
        <v>2</v>
      </c>
      <c r="B3" s="1">
        <v>46122.586782407408</v>
      </c>
      <c r="C3" s="1">
        <v>46122.587337962963</v>
      </c>
      <c r="D3" s="2">
        <f t="shared" si="0"/>
        <v>5.5555555445607752E-4</v>
      </c>
      <c r="E3" t="s">
        <v>30</v>
      </c>
      <c r="F3" t="s">
        <v>31</v>
      </c>
      <c r="G3" t="s">
        <v>20</v>
      </c>
      <c r="H3" t="s">
        <v>32</v>
      </c>
      <c r="I3" t="s">
        <v>33</v>
      </c>
      <c r="J3" t="s">
        <v>23</v>
      </c>
      <c r="K3" t="s">
        <v>25</v>
      </c>
      <c r="L3" t="s">
        <v>26</v>
      </c>
      <c r="N3" t="s">
        <v>25</v>
      </c>
      <c r="O3" t="s">
        <v>34</v>
      </c>
      <c r="P3" t="s">
        <v>35</v>
      </c>
      <c r="Q3" t="s">
        <v>36</v>
      </c>
      <c r="R3">
        <v>6</v>
      </c>
    </row>
    <row r="4" spans="1:19" x14ac:dyDescent="0.35">
      <c r="A4">
        <v>3</v>
      </c>
      <c r="B4" s="1">
        <v>46122.602905092594</v>
      </c>
      <c r="C4" s="1">
        <v>46122.603298611109</v>
      </c>
      <c r="D4" s="2">
        <f t="shared" si="0"/>
        <v>3.9351851592073217E-4</v>
      </c>
      <c r="E4" t="s">
        <v>37</v>
      </c>
      <c r="F4" t="s">
        <v>38</v>
      </c>
      <c r="G4" t="s">
        <v>20</v>
      </c>
      <c r="H4" t="s">
        <v>39</v>
      </c>
      <c r="I4" t="s">
        <v>40</v>
      </c>
      <c r="J4" t="s">
        <v>23</v>
      </c>
      <c r="K4" t="s">
        <v>26</v>
      </c>
      <c r="L4" t="s">
        <v>26</v>
      </c>
      <c r="M4" t="s">
        <v>25</v>
      </c>
      <c r="N4" t="s">
        <v>25</v>
      </c>
      <c r="O4" t="s">
        <v>41</v>
      </c>
      <c r="P4" t="s">
        <v>28</v>
      </c>
      <c r="Q4" t="s">
        <v>36</v>
      </c>
      <c r="R4">
        <v>6</v>
      </c>
    </row>
    <row r="5" spans="1:19" x14ac:dyDescent="0.35">
      <c r="A5">
        <v>4</v>
      </c>
      <c r="B5" s="1">
        <v>46122.612905092596</v>
      </c>
      <c r="C5" s="1">
        <v>46122.613506944443</v>
      </c>
      <c r="D5" s="2">
        <f t="shared" si="0"/>
        <v>6.0185184702277184E-4</v>
      </c>
      <c r="E5" t="s">
        <v>42</v>
      </c>
      <c r="F5" t="s">
        <v>43</v>
      </c>
      <c r="G5" t="s">
        <v>20</v>
      </c>
      <c r="H5" t="s">
        <v>32</v>
      </c>
      <c r="I5" t="s">
        <v>40</v>
      </c>
      <c r="J5" t="s">
        <v>44</v>
      </c>
      <c r="K5" t="s">
        <v>26</v>
      </c>
      <c r="L5" t="s">
        <v>26</v>
      </c>
      <c r="M5" t="s">
        <v>24</v>
      </c>
      <c r="N5" t="s">
        <v>24</v>
      </c>
      <c r="O5" t="s">
        <v>34</v>
      </c>
      <c r="P5" t="s">
        <v>35</v>
      </c>
      <c r="Q5" t="s">
        <v>45</v>
      </c>
      <c r="R5">
        <v>5</v>
      </c>
    </row>
    <row r="6" spans="1:19" x14ac:dyDescent="0.35">
      <c r="A6">
        <v>5</v>
      </c>
      <c r="B6" s="1">
        <v>46122.627129629633</v>
      </c>
      <c r="C6" s="1">
        <v>46122.628854166665</v>
      </c>
      <c r="D6" s="2">
        <f t="shared" si="0"/>
        <v>1.7245370327145793E-3</v>
      </c>
      <c r="E6" t="s">
        <v>46</v>
      </c>
      <c r="F6" t="s">
        <v>47</v>
      </c>
      <c r="G6" t="s">
        <v>20</v>
      </c>
      <c r="H6" t="s">
        <v>48</v>
      </c>
      <c r="I6" t="s">
        <v>33</v>
      </c>
      <c r="J6" t="s">
        <v>44</v>
      </c>
      <c r="K6" t="s">
        <v>26</v>
      </c>
      <c r="L6" t="s">
        <v>26</v>
      </c>
      <c r="M6" t="s">
        <v>26</v>
      </c>
      <c r="N6" t="s">
        <v>24</v>
      </c>
      <c r="O6" t="s">
        <v>41</v>
      </c>
      <c r="P6" t="s">
        <v>49</v>
      </c>
      <c r="Q6" t="s">
        <v>36</v>
      </c>
      <c r="R6">
        <v>3</v>
      </c>
    </row>
    <row r="7" spans="1:19" x14ac:dyDescent="0.35">
      <c r="A7">
        <v>6</v>
      </c>
      <c r="B7" s="1">
        <v>46122.63417824074</v>
      </c>
      <c r="C7" s="1">
        <v>46122.635196759256</v>
      </c>
      <c r="D7" s="2">
        <f t="shared" si="0"/>
        <v>1.0185185165028088E-3</v>
      </c>
      <c r="E7" t="s">
        <v>50</v>
      </c>
      <c r="F7" t="s">
        <v>51</v>
      </c>
      <c r="G7" t="s">
        <v>20</v>
      </c>
      <c r="H7" t="s">
        <v>52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53</v>
      </c>
      <c r="O7" t="s">
        <v>41</v>
      </c>
      <c r="P7" t="s">
        <v>28</v>
      </c>
      <c r="Q7" t="s">
        <v>36</v>
      </c>
      <c r="R7">
        <v>7</v>
      </c>
      <c r="S7" t="s">
        <v>54</v>
      </c>
    </row>
    <row r="8" spans="1:19" x14ac:dyDescent="0.35">
      <c r="A8">
        <v>7</v>
      </c>
      <c r="B8" s="1">
        <v>46124.559351851851</v>
      </c>
      <c r="C8" s="1">
        <v>46124.559641203705</v>
      </c>
      <c r="D8" s="2">
        <f t="shared" si="0"/>
        <v>2.8935185400769114E-4</v>
      </c>
      <c r="E8" t="s">
        <v>55</v>
      </c>
      <c r="F8" t="s">
        <v>56</v>
      </c>
      <c r="G8" t="s">
        <v>20</v>
      </c>
      <c r="H8" t="s">
        <v>32</v>
      </c>
      <c r="I8" t="s">
        <v>40</v>
      </c>
      <c r="J8" t="s">
        <v>57</v>
      </c>
      <c r="K8" t="s">
        <v>25</v>
      </c>
      <c r="L8" t="s">
        <v>26</v>
      </c>
      <c r="M8" t="s">
        <v>25</v>
      </c>
      <c r="N8" t="s">
        <v>53</v>
      </c>
      <c r="O8" t="s">
        <v>34</v>
      </c>
      <c r="P8" t="s">
        <v>49</v>
      </c>
      <c r="Q8" t="s">
        <v>36</v>
      </c>
      <c r="R8">
        <v>7</v>
      </c>
    </row>
    <row r="9" spans="1:19" x14ac:dyDescent="0.35">
      <c r="A9">
        <v>8</v>
      </c>
      <c r="B9" s="1">
        <v>46124.750960648147</v>
      </c>
      <c r="C9" s="1">
        <v>46124.751770833333</v>
      </c>
      <c r="D9" s="2">
        <f t="shared" si="0"/>
        <v>8.1018518540076911E-4</v>
      </c>
      <c r="E9" t="s">
        <v>58</v>
      </c>
      <c r="F9" t="s">
        <v>59</v>
      </c>
      <c r="G9" t="s">
        <v>20</v>
      </c>
      <c r="H9" t="s">
        <v>52</v>
      </c>
      <c r="I9" t="s">
        <v>33</v>
      </c>
      <c r="J9" t="s">
        <v>23</v>
      </c>
      <c r="K9" t="s">
        <v>26</v>
      </c>
      <c r="L9" t="s">
        <v>25</v>
      </c>
      <c r="M9" t="s">
        <v>26</v>
      </c>
      <c r="N9" t="s">
        <v>60</v>
      </c>
      <c r="O9" t="s">
        <v>27</v>
      </c>
      <c r="P9" t="s">
        <v>61</v>
      </c>
      <c r="Q9" t="s">
        <v>36</v>
      </c>
      <c r="R9">
        <v>7</v>
      </c>
    </row>
    <row r="10" spans="1:19" ht="15" thickBot="1" x14ac:dyDescent="0.4">
      <c r="A10" s="3"/>
      <c r="C10" s="1"/>
      <c r="D10" s="2">
        <f>AVERAGE(D2:D9)</f>
        <v>7.8993055376486154E-4</v>
      </c>
      <c r="E10" s="4"/>
      <c r="F10" s="4"/>
      <c r="G10" s="4"/>
      <c r="H10" s="4"/>
      <c r="I10" s="2"/>
      <c r="M10" s="4"/>
      <c r="N10" s="4"/>
      <c r="O10" s="8" t="s">
        <v>66</v>
      </c>
      <c r="P10" s="4"/>
      <c r="Q10" s="4"/>
      <c r="R10" s="3"/>
      <c r="S10" s="4"/>
    </row>
    <row r="11" spans="1:19" ht="15" thickTop="1" x14ac:dyDescent="0.35">
      <c r="J11" s="7" t="s">
        <v>63</v>
      </c>
      <c r="K11" s="7"/>
      <c r="L11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osorio</dc:creator>
  <cp:keywords/>
  <dc:description/>
  <cp:lastModifiedBy>angel osorio</cp:lastModifiedBy>
  <cp:revision/>
  <dcterms:created xsi:type="dcterms:W3CDTF">2026-04-13T17:22:50Z</dcterms:created>
  <dcterms:modified xsi:type="dcterms:W3CDTF">2026-04-13T17:59:20Z</dcterms:modified>
  <cp:category/>
  <cp:contentStatus/>
</cp:coreProperties>
</file>