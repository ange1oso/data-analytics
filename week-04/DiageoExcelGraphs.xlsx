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4\"/>
    </mc:Choice>
  </mc:AlternateContent>
  <xr:revisionPtr revIDLastSave="0" documentId="13_ncr:1_{A1734CB8-2FB8-4A1B-9F77-ED74E0A7D101}" xr6:coauthVersionLast="47" xr6:coauthVersionMax="47" xr10:uidLastSave="{00000000-0000-0000-0000-000000000000}"/>
  <bookViews>
    <workbookView xWindow="-110" yWindow="-110" windowWidth="19420" windowHeight="11500" firstSheet="14" activeTab="17" xr2:uid="{ED08C379-C075-4C30-8FED-DB682D37075B}"/>
  </bookViews>
  <sheets>
    <sheet name="CaptainMorganGraph" sheetId="3" r:id="rId1"/>
    <sheet name="CaptainMorgan" sheetId="1" r:id="rId2"/>
    <sheet name="TopProductsGraph" sheetId="5" r:id="rId3"/>
    <sheet name="TopProducts" sheetId="4" r:id="rId4"/>
    <sheet name="CatByRevGraph" sheetId="7" r:id="rId5"/>
    <sheet name="CategoriesByRev" sheetId="6" r:id="rId6"/>
    <sheet name="RevPerCatGraph" sheetId="9" r:id="rId7"/>
    <sheet name="RevPerCat" sheetId="8" r:id="rId8"/>
    <sheet name="TopStoresGraph" sheetId="11" r:id="rId9"/>
    <sheet name="TopStores" sheetId="10" r:id="rId10"/>
    <sheet name="VsVendorsGraph" sheetId="13" r:id="rId11"/>
    <sheet name="VsVendors" sheetId="12" r:id="rId12"/>
    <sheet name="QSalesGraph" sheetId="15" r:id="rId13"/>
    <sheet name="QSales" sheetId="14" r:id="rId14"/>
    <sheet name="PerCapita" sheetId="16" r:id="rId15"/>
    <sheet name="PerCapitaGraph" sheetId="17" r:id="rId16"/>
    <sheet name="VendorsSpicedRum" sheetId="19" r:id="rId17"/>
    <sheet name="VendorsSpicedRumGraph" sheetId="20" r:id="rId18"/>
  </sheets>
  <calcPr calcId="0"/>
  <pivotCaches>
    <pivotCache cacheId="0" r:id="rId19"/>
    <pivotCache cacheId="2" r:id="rId20"/>
    <pivotCache cacheId="3" r:id="rId21"/>
    <pivotCache cacheId="20" r:id="rId22"/>
    <pivotCache cacheId="16" r:id="rId23"/>
    <pivotCache cacheId="8" r:id="rId24"/>
    <pivotCache cacheId="12" r:id="rId25"/>
    <pivotCache cacheId="28" r:id="rId26"/>
  </pivotCaches>
</workbook>
</file>

<file path=xl/sharedStrings.xml><?xml version="1.0" encoding="utf-8"?>
<sst xmlns="http://schemas.openxmlformats.org/spreadsheetml/2006/main" count="251" uniqueCount="103">
  <si>
    <t>product_name</t>
  </si>
  <si>
    <t>category_name</t>
  </si>
  <si>
    <t>min_btl_cost</t>
  </si>
  <si>
    <t>max_btl_cost</t>
  </si>
  <si>
    <t>avg_btl_cost</t>
  </si>
  <si>
    <t>total_transactions</t>
  </si>
  <si>
    <t>total_bottles_sold</t>
  </si>
  <si>
    <t>total_revenue</t>
  </si>
  <si>
    <t>avg_bottle_price</t>
  </si>
  <si>
    <t>Captain Morgan Spiced Rum</t>
  </si>
  <si>
    <t>SPICED RUM</t>
  </si>
  <si>
    <t>Captain Morgan Spiced Barrel</t>
  </si>
  <si>
    <t>Captain Morgan Private Stock Rum</t>
  </si>
  <si>
    <t>Captain Morgan 100 Proof Spiced Rum</t>
  </si>
  <si>
    <t>Captain Morgan Black Spiced</t>
  </si>
  <si>
    <t>Captain Morgan Private Stock</t>
  </si>
  <si>
    <t>Row Labels</t>
  </si>
  <si>
    <t>Grand Total</t>
  </si>
  <si>
    <t>Total Revenue</t>
  </si>
  <si>
    <t>Captain Morgan Original Spiced</t>
  </si>
  <si>
    <t>Captain Morgan Original Spiced Rum Pet</t>
  </si>
  <si>
    <t>Captain Morgan Spiced Rum Pet</t>
  </si>
  <si>
    <t>Captain Morgan Spiced Rum Mini</t>
  </si>
  <si>
    <t>Captain Morgan Tattoo</t>
  </si>
  <si>
    <t>Captain Morgan Silver Spiced Rum</t>
  </si>
  <si>
    <t>Captain Morgan 1671</t>
  </si>
  <si>
    <t>Crown Royal Canadian Whisky</t>
  </si>
  <si>
    <t>CANADIAN WHISKIES</t>
  </si>
  <si>
    <t>Smirnoff Vodka 80 Prf</t>
  </si>
  <si>
    <t>80 PROOF VODKA</t>
  </si>
  <si>
    <t>Seagrams 7 Crown Bl Whiskey</t>
  </si>
  <si>
    <t>BLENDED WHISKIES</t>
  </si>
  <si>
    <t>Crown Royal</t>
  </si>
  <si>
    <t>Bailey's Original Irish Cream</t>
  </si>
  <si>
    <t>CREAM LIQUEURS</t>
  </si>
  <si>
    <t>Tanqueray Gin</t>
  </si>
  <si>
    <t>IMPORTED DRY GINS</t>
  </si>
  <si>
    <t>Ketel One Imported Vodka</t>
  </si>
  <si>
    <t>IMPORTED VODKA</t>
  </si>
  <si>
    <t>category</t>
  </si>
  <si>
    <t>PUERTO RICO &amp; VIRGIN ISLANDS RUM</t>
  </si>
  <si>
    <t>FLAVORED RUM</t>
  </si>
  <si>
    <t>JAMAICA RUM</t>
  </si>
  <si>
    <t>category_id</t>
  </si>
  <si>
    <t>SCOTCH WHISKIES</t>
  </si>
  <si>
    <t>store</t>
  </si>
  <si>
    <t>store_address</t>
  </si>
  <si>
    <t>Hy-vee #3 / Bdi / Des Moines</t>
  </si>
  <si>
    <t>3221 Se 14th St
Des Moines, IA 503200000
(41.55407025200003, -93.59676391599999)</t>
  </si>
  <si>
    <t>Central City 2</t>
  </si>
  <si>
    <t>1501 Michigan Ave
Des Moines, IA 50314
(41.60583075100004, -93.61375431199997)</t>
  </si>
  <si>
    <t>Costco Wholesale #788</t>
  </si>
  <si>
    <t>7205 Mills Civic Pkwy
West Des Moines, IA 502660000
(41.56158773800007, -93.80428295799999)</t>
  </si>
  <si>
    <t>Sam's Club 6344 / Windsor Heights</t>
  </si>
  <si>
    <t>1101 73rd Street
Windsor Heights, IA 503110000
(41.597748839000076, -93.71836318499999)</t>
  </si>
  <si>
    <t>Sam's Club 8162 / Cedar Rapids</t>
  </si>
  <si>
    <t>2605 Blairs Ferry Rd Ne
Cedar Rapids, IA 524020000
(42.03468354000006, -91.68021044599999)</t>
  </si>
  <si>
    <t>Lot-a-spirits</t>
  </si>
  <si>
    <t>3780 State St
Bettendorf, IA 527220000
(41.529565827000056, -90.48082335099997)</t>
  </si>
  <si>
    <t>Hy-vee Wine and Spirits / Iowa City</t>
  </si>
  <si>
    <t>1720 Waterfront Dr
Iowa City, IA 522400000
(41.64292615900007, -91.53064887599999)</t>
  </si>
  <si>
    <t>Costco Wholesale #1111 / Coralville</t>
  </si>
  <si>
    <t>2900 Heartland Dr
Coralville, IA 52241
(41.69794646400004, -91.61526092999998)</t>
  </si>
  <si>
    <t>Sam's Club 8238 / Davenport</t>
  </si>
  <si>
    <t>3845 Elmore Ave.
Davenport, IA 528070000
(41.55976901200006, -90.52713019399994)</t>
  </si>
  <si>
    <t>Benz Distributing</t>
  </si>
  <si>
    <t>501 7th Ave Se
Cedar Rapids, IA 524010000
(41.975795025000025, -91.65975629199994)</t>
  </si>
  <si>
    <t xml:space="preserve">Sam's Club 8238 </t>
  </si>
  <si>
    <t xml:space="preserve">Costco Wholesale #1111 </t>
  </si>
  <si>
    <t>Hy-vee Wine and Spirits</t>
  </si>
  <si>
    <t xml:space="preserve">Sam's Club 8162 </t>
  </si>
  <si>
    <t xml:space="preserve">Sam's Club 6344 </t>
  </si>
  <si>
    <t xml:space="preserve">Hy-vee #3 </t>
  </si>
  <si>
    <t>vendors</t>
  </si>
  <si>
    <t>All Other Vendors</t>
  </si>
  <si>
    <t>Diageo Americas</t>
  </si>
  <si>
    <t>Column Labels</t>
  </si>
  <si>
    <t>Q1</t>
  </si>
  <si>
    <t>Q2</t>
  </si>
  <si>
    <t>Q3</t>
  </si>
  <si>
    <t>Q4</t>
  </si>
  <si>
    <t>Quarter</t>
  </si>
  <si>
    <t>Sum of total_revenue</t>
  </si>
  <si>
    <t>county</t>
  </si>
  <si>
    <t>population</t>
  </si>
  <si>
    <t>revenue_per_capita</t>
  </si>
  <si>
    <t>Polk</t>
  </si>
  <si>
    <t>Linn</t>
  </si>
  <si>
    <t>Scott</t>
  </si>
  <si>
    <t>Black Hawk</t>
  </si>
  <si>
    <t>Johnson</t>
  </si>
  <si>
    <t>vendor</t>
  </si>
  <si>
    <t>Heaven Hill Distilleries Inc.</t>
  </si>
  <si>
    <t>WILLIAM GRANT AND SONS INC.</t>
  </si>
  <si>
    <t>Luxco-St Louis</t>
  </si>
  <si>
    <t>Proximo</t>
  </si>
  <si>
    <t>Bacardi U.S.A. Inc.</t>
  </si>
  <si>
    <t>U.S. Distilled Prod. Co</t>
  </si>
  <si>
    <t>Phillips Beverage Company</t>
  </si>
  <si>
    <t>Paradise Distilling Company</t>
  </si>
  <si>
    <t>Heaven Hill Brands</t>
  </si>
  <si>
    <t>Total Revenue Per Vendor</t>
  </si>
  <si>
    <t>FY2014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</si>
</sst>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[DiageoExcelGraphs.xlsx]CaptainMorganGraph!PivotTable8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Best Sellers in Spiced 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4000"/>
              <a:alpha val="7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tint val="77000"/>
              <a:alpha val="7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shade val="76000"/>
              <a:alpha val="7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shade val="53000"/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CaptainMorganGraph!$B$1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54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C5-423C-8CCD-BFA91444F2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77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C5-423C-8CCD-BFA91444F2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C5-423C-8CCD-BFA91444F2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shade val="76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C5-423C-8CCD-BFA91444F23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shade val="53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C5-423C-8CCD-BFA91444F239}"/>
              </c:ext>
            </c:extLst>
          </c:dPt>
          <c:cat>
            <c:strRef>
              <c:f>CaptainMorganGraph!$A$2:$A$7</c:f>
              <c:strCache>
                <c:ptCount val="5"/>
                <c:pt idx="0">
                  <c:v>Captain Morgan 1671</c:v>
                </c:pt>
                <c:pt idx="1">
                  <c:v>Captain Morgan Black Spiced</c:v>
                </c:pt>
                <c:pt idx="2">
                  <c:v>Captain Morgan 100 Proof Spiced Rum</c:v>
                </c:pt>
                <c:pt idx="3">
                  <c:v>Captain Morgan Original Spiced Rum Pet</c:v>
                </c:pt>
                <c:pt idx="4">
                  <c:v>Captain Morgan Original Spiced</c:v>
                </c:pt>
              </c:strCache>
            </c:strRef>
          </c:cat>
          <c:val>
            <c:numRef>
              <c:f>CaptainMorganGraph!$B$2:$B$7</c:f>
              <c:numCache>
                <c:formatCode>"$"#,##0.00_);[Red]\("$"#,##0.00\)</c:formatCode>
                <c:ptCount val="5"/>
                <c:pt idx="0">
                  <c:v>2788.14</c:v>
                </c:pt>
                <c:pt idx="1">
                  <c:v>187143</c:v>
                </c:pt>
                <c:pt idx="2">
                  <c:v>365853.93</c:v>
                </c:pt>
                <c:pt idx="3">
                  <c:v>1214625.54</c:v>
                </c:pt>
                <c:pt idx="4">
                  <c:v>3118750.08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2-42E2-A44C-7273A2922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98651855"/>
        <c:axId val="1298652335"/>
      </c:barChart>
      <c:catAx>
        <c:axId val="129865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52335"/>
        <c:crosses val="autoZero"/>
        <c:auto val="1"/>
        <c:lblAlgn val="ctr"/>
        <c:lblOffset val="100"/>
        <c:noMultiLvlLbl val="0"/>
      </c:catAx>
      <c:valAx>
        <c:axId val="12986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5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Performing  Products in 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43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43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4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tint val="56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56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tint val="69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9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tint val="81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81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8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6">
                  <a:tint val="94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94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9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6">
                  <a:shade val="93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93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6">
                  <a:shade val="8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8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6">
                  <a:shade val="68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8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6">
                  <a:shade val="5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5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5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hade val="42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42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4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DC-469C-820F-90B599678E11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DC-469C-820F-90B599678E11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DC-469C-820F-90B599678E11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DC-469C-820F-90B599678E11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DC-469C-820F-90B599678E11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ADC-469C-820F-90B599678E11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ADC-469C-820F-90B599678E11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ADC-469C-820F-90B599678E11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ADC-469C-820F-90B599678E11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ADC-469C-820F-90B599678E11}"/>
              </c:ext>
            </c:extLst>
          </c:dPt>
          <c:cat>
            <c:strLit>
              <c:ptCount val="10"/>
              <c:pt idx="0">
                <c:v>Ketel One Imported Vodka</c:v>
              </c:pt>
              <c:pt idx="1">
                <c:v>Tanqueray Gin</c:v>
              </c:pt>
              <c:pt idx="2">
                <c:v>Bailey's Original Irish Cream</c:v>
              </c:pt>
              <c:pt idx="3">
                <c:v>Captain Morgan Original Spiced</c:v>
              </c:pt>
              <c:pt idx="4">
                <c:v>Captain Morgan Spiced Barrel</c:v>
              </c:pt>
              <c:pt idx="5">
                <c:v>Crown Royal</c:v>
              </c:pt>
              <c:pt idx="6">
                <c:v>Seagrams 7 Crown Bl Whiskey</c:v>
              </c:pt>
              <c:pt idx="7">
                <c:v>Smirnoff Vodka 80 Prf</c:v>
              </c:pt>
              <c:pt idx="8">
                <c:v>Crown Royal Canadian Whisky</c:v>
              </c:pt>
              <c:pt idx="9">
                <c:v>Captain Morgan Spiced Rum</c:v>
              </c:pt>
            </c:strLit>
          </c:cat>
          <c:val>
            <c:numLit>
              <c:formatCode>General</c:formatCode>
              <c:ptCount val="10"/>
              <c:pt idx="0">
                <c:v>2117430.9500000002</c:v>
              </c:pt>
              <c:pt idx="1">
                <c:v>2419157.02</c:v>
              </c:pt>
              <c:pt idx="2">
                <c:v>2601938.31</c:v>
              </c:pt>
              <c:pt idx="3">
                <c:v>3118750.08</c:v>
              </c:pt>
              <c:pt idx="4">
                <c:v>3430430.06</c:v>
              </c:pt>
              <c:pt idx="5">
                <c:v>3774346.27</c:v>
              </c:pt>
              <c:pt idx="6">
                <c:v>3923819.48</c:v>
              </c:pt>
              <c:pt idx="7">
                <c:v>4406488.93</c:v>
              </c:pt>
              <c:pt idx="8">
                <c:v>8709129.0399999991</c:v>
              </c:pt>
              <c:pt idx="9">
                <c:v>12307709.529999999</c:v>
              </c:pt>
            </c:numLit>
          </c:val>
          <c:extLst>
            <c:ext xmlns:c16="http://schemas.microsoft.com/office/drawing/2014/chart" uri="{C3380CC4-5D6E-409C-BE32-E72D297353CC}">
              <c16:uniqueId val="{00000014-6ADC-469C-820F-90B599678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0053423"/>
        <c:axId val="1030052943"/>
      </c:barChart>
      <c:catAx>
        <c:axId val="103005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Brands</a:t>
                </a:r>
              </a:p>
            </c:rich>
          </c:tx>
          <c:layout>
            <c:manualLayout>
              <c:xMode val="edge"/>
              <c:yMode val="edge"/>
              <c:x val="0.50560333424225001"/>
              <c:y val="0.92391377116163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52943"/>
        <c:crosses val="autoZero"/>
        <c:auto val="1"/>
        <c:lblAlgn val="ctr"/>
        <c:lblOffset val="100"/>
        <c:noMultiLvlLbl val="0"/>
      </c:catAx>
      <c:valAx>
        <c:axId val="103005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5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Liquor</a:t>
            </a:r>
            <a:r>
              <a:rPr lang="en-US" baseline="0"/>
              <a:t>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5C-4ED3-B6EB-80842753B9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5C-4ED3-B6EB-80842753B9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5C-4ED3-B6EB-80842753B9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5C-4ED3-B6EB-80842753B943}"/>
              </c:ext>
            </c:extLst>
          </c:dPt>
          <c:cat>
            <c:strLit>
              <c:ptCount val="4"/>
              <c:pt idx="0">
                <c:v>JAMAICA RUM</c:v>
              </c:pt>
              <c:pt idx="1">
                <c:v>FLAVORED RUM</c:v>
              </c:pt>
              <c:pt idx="2">
                <c:v>PUERTO RICO &amp; VIRGIN ISLANDS RUM</c:v>
              </c:pt>
              <c:pt idx="3">
                <c:v>SPICED RUM</c:v>
              </c:pt>
            </c:strLit>
          </c:cat>
          <c:val>
            <c:numLit>
              <c:formatCode>General</c:formatCode>
              <c:ptCount val="4"/>
              <c:pt idx="0">
                <c:v>336452.84</c:v>
              </c:pt>
              <c:pt idx="1">
                <c:v>7281922.5499999998</c:v>
              </c:pt>
              <c:pt idx="2">
                <c:v>11539721.75</c:v>
              </c:pt>
              <c:pt idx="3">
                <c:v>28261863.710000001</c:v>
              </c:pt>
            </c:numLit>
          </c:val>
          <c:extLst>
            <c:ext xmlns:c16="http://schemas.microsoft.com/office/drawing/2014/chart" uri="{C3380CC4-5D6E-409C-BE32-E72D297353CC}">
              <c16:uniqueId val="{00000008-135C-4ED3-B6EB-80842753B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024910671"/>
        <c:axId val="1026270975"/>
      </c:barChart>
      <c:catAx>
        <c:axId val="10249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70975"/>
        <c:crosses val="autoZero"/>
        <c:auto val="1"/>
        <c:lblAlgn val="ctr"/>
        <c:lblOffset val="100"/>
        <c:noMultiLvlLbl val="0"/>
      </c:catAx>
      <c:valAx>
        <c:axId val="10262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0955414012738773E-2"/>
              <c:y val="3.8596491228070143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0946AEDF-0781-4E30-8BF3-A5852308277C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
</a:t>
                </a:r>
                <a:fld id="{766C1CE7-C129-4063-A962-7CC8C2C36923}" type="PERCENTAGE">
                  <a:rPr lang="en-US" baseline="0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12801"/>
                    <a:gd name="adj2" fmla="val 82071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26539278131634819"/>
              <c:y val="7.0175438596491229E-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215F16A-3D1B-41BC-A746-E87D5D501E6F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
</a:t>
                </a:r>
                <a:fld id="{8C764392-6051-4E67-A697-42DEC7A8D050}" type="PERCENTAGE">
                  <a:rPr lang="en-US" baseline="0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56830"/>
                    <a:gd name="adj2" fmla="val 113543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108280254777069E-2"/>
              <c:y val="-4.912280701754386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22E1FB18-CFF3-41DB-B920-CE92A6EE7753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
</a:t>
                </a:r>
                <a:fld id="{A71233D9-5E96-40CF-BB37-A67DAFF12DD0}" type="PERCENTAGE">
                  <a:rPr lang="en-US" baseline="0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12701"/>
                    <a:gd name="adj2" fmla="val 95721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2526539278131635"/>
              <c:y val="-0.1157894736842105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CFF70703-4FAD-4327-B817-7FEC68B56378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
</a:t>
                </a:r>
                <a:fld id="{814315A5-D42E-4D64-AD9A-EA188D072338}" type="PERCENTAGE">
                  <a:rPr lang="en-US" baseline="0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52279"/>
                    <a:gd name="adj2" fmla="val -85356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AB594BFD-4BFE-4E96-B571-72D87343E52B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
</a:t>
                </a:r>
                <a:fld id="{43BA692B-7FAC-4625-BE9D-DC9B1AFD3896}" type="PERCENTAGE">
                  <a:rPr lang="en-US" baseline="0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121589"/>
                    <a:gd name="adj2" fmla="val 13106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19-44AD-9178-5541610FE3E7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19-44AD-9178-5541610FE3E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19-44AD-9178-5541610FE3E7}"/>
              </c:ext>
            </c:extLst>
          </c:dPt>
          <c:dPt>
            <c:idx val="3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19-44AD-9178-5541610FE3E7}"/>
              </c:ext>
            </c:extLst>
          </c:dPt>
          <c:dPt>
            <c:idx val="4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19-44AD-9178-5541610FE3E7}"/>
              </c:ext>
            </c:extLst>
          </c:dPt>
          <c:dLbls>
            <c:dLbl>
              <c:idx val="0"/>
              <c:layout>
                <c:manualLayout>
                  <c:x val="-0.26539278131634819"/>
                  <c:y val="7.0175438596491229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15F16A-3D1B-41BC-A746-E87D5D501E6F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8C764392-6051-4E67-A697-42DEC7A8D050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56830"/>
                        <a:gd name="adj2" fmla="val 113543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F19-44AD-9178-5541610FE3E7}"/>
                </c:ext>
              </c:extLst>
            </c:dLbl>
            <c:dLbl>
              <c:idx val="1"/>
              <c:layout>
                <c:manualLayout>
                  <c:x val="5.0955414012738773E-2"/>
                  <c:y val="3.859649122807014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946AEDF-0781-4E30-8BF3-A5852308277C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766C1CE7-C129-4063-A962-7CC8C2C36923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12801"/>
                        <a:gd name="adj2" fmla="val 82071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F19-44AD-9178-5541610FE3E7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B594BFD-4BFE-4E96-B571-72D87343E52B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43BA692B-7FAC-4625-BE9D-DC9B1AFD3896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21589"/>
                        <a:gd name="adj2" fmla="val 13106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F19-44AD-9178-5541610FE3E7}"/>
                </c:ext>
              </c:extLst>
            </c:dLbl>
            <c:dLbl>
              <c:idx val="3"/>
              <c:layout>
                <c:manualLayout>
                  <c:x val="0.12526539278131635"/>
                  <c:y val="-0.1157894736842105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F70703-4FAD-4327-B817-7FEC68B56378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814315A5-D42E-4D64-AD9A-EA188D072338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52279"/>
                        <a:gd name="adj2" fmla="val -85356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CF19-44AD-9178-5541610FE3E7}"/>
                </c:ext>
              </c:extLst>
            </c:dLbl>
            <c:dLbl>
              <c:idx val="4"/>
              <c:layout>
                <c:manualLayout>
                  <c:x val="-1.9108280254777069E-2"/>
                  <c:y val="-4.91228070175438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2E1FB18-CFF3-41DB-B920-CE92A6EE7753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A71233D9-5E96-40CF-BB37-A67DAFF12DD0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12701"/>
                        <a:gd name="adj2" fmla="val 95721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F19-44AD-9178-5541610FE3E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SCOTCH WHISKIES</c:v>
              </c:pt>
              <c:pt idx="1">
                <c:v>BLENDED WHISKIES</c:v>
              </c:pt>
              <c:pt idx="2">
                <c:v>80 PROOF VODKA</c:v>
              </c:pt>
              <c:pt idx="3">
                <c:v>CANADIAN WHISKIES</c:v>
              </c:pt>
              <c:pt idx="4">
                <c:v>SPICED RUM</c:v>
              </c:pt>
            </c:strLit>
          </c:cat>
          <c:val>
            <c:numLit>
              <c:formatCode>General</c:formatCode>
              <c:ptCount val="5"/>
              <c:pt idx="0">
                <c:v>3357117.34</c:v>
              </c:pt>
              <c:pt idx="1">
                <c:v>4541340.1500000004</c:v>
              </c:pt>
              <c:pt idx="2">
                <c:v>8689907.8699999992</c:v>
              </c:pt>
              <c:pt idx="3">
                <c:v>14677374.449999999</c:v>
              </c:pt>
              <c:pt idx="4">
                <c:v>21801690.48</c:v>
              </c:pt>
            </c:numLit>
          </c:val>
          <c:extLst>
            <c:ext xmlns:c16="http://schemas.microsoft.com/office/drawing/2014/chart" uri="{C3380CC4-5D6E-409C-BE32-E72D297353CC}">
              <c16:uniqueId val="{0000000A-CF19-44AD-9178-5541610FE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Best Performing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Benz Distributing</c:v>
              </c:pt>
              <c:pt idx="1">
                <c:v>Sam's Club 8238 </c:v>
              </c:pt>
              <c:pt idx="2">
                <c:v>Costco Wholesale #1111 </c:v>
              </c:pt>
              <c:pt idx="3">
                <c:v>Hy-vee Wine and Spirits</c:v>
              </c:pt>
              <c:pt idx="4">
                <c:v>Lot-a-spirits</c:v>
              </c:pt>
              <c:pt idx="5">
                <c:v>Sam's Club 8162 </c:v>
              </c:pt>
              <c:pt idx="6">
                <c:v>Sam's Club 6344 </c:v>
              </c:pt>
              <c:pt idx="7">
                <c:v>Costco Wholesale #788</c:v>
              </c:pt>
              <c:pt idx="8">
                <c:v>Central City 2</c:v>
              </c:pt>
              <c:pt idx="9">
                <c:v>Hy-vee #3 </c:v>
              </c:pt>
            </c:strLit>
          </c:cat>
          <c:val>
            <c:numLit>
              <c:formatCode>General</c:formatCode>
              <c:ptCount val="10"/>
              <c:pt idx="0">
                <c:v>631863.57999999996</c:v>
              </c:pt>
              <c:pt idx="1">
                <c:v>694310.8</c:v>
              </c:pt>
              <c:pt idx="2">
                <c:v>705868.63</c:v>
              </c:pt>
              <c:pt idx="3">
                <c:v>813114.01</c:v>
              </c:pt>
              <c:pt idx="4">
                <c:v>852072.45</c:v>
              </c:pt>
              <c:pt idx="5">
                <c:v>1202069.28</c:v>
              </c:pt>
              <c:pt idx="6">
                <c:v>1304648.8799999999</c:v>
              </c:pt>
              <c:pt idx="7">
                <c:v>1505935.25</c:v>
              </c:pt>
              <c:pt idx="8">
                <c:v>2464432.46</c:v>
              </c:pt>
              <c:pt idx="9">
                <c:v>2933981.25</c:v>
              </c:pt>
            </c:numLit>
          </c:val>
          <c:extLst>
            <c:ext xmlns:c16="http://schemas.microsoft.com/office/drawing/2014/chart" uri="{C3380CC4-5D6E-409C-BE32-E72D297353CC}">
              <c16:uniqueId val="{00000000-AC5B-4FF6-ADB6-5491DB0A6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4920816"/>
        <c:axId val="1344921776"/>
      </c:barChart>
      <c:catAx>
        <c:axId val="13449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21776"/>
        <c:crosses val="autoZero"/>
        <c:auto val="1"/>
        <c:lblAlgn val="ctr"/>
        <c:lblOffset val="100"/>
        <c:noMultiLvlLbl val="0"/>
      </c:catAx>
      <c:valAx>
        <c:axId val="13449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All Other Vendors</c:v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JAMAICA RUM</c:v>
              </c:pt>
              <c:pt idx="1">
                <c:v>FLAVORED RUM</c:v>
              </c:pt>
              <c:pt idx="2">
                <c:v>PUERTO RICO &amp; VIRGIN ISLANDS RUM</c:v>
              </c:pt>
              <c:pt idx="3">
                <c:v>SPICED RUM</c:v>
              </c:pt>
            </c:strLit>
          </c:cat>
          <c:val>
            <c:numLit>
              <c:formatCode>General</c:formatCode>
              <c:ptCount val="4"/>
              <c:pt idx="0">
                <c:v>126501.9</c:v>
              </c:pt>
              <c:pt idx="1">
                <c:v>6840471.9500000002</c:v>
              </c:pt>
              <c:pt idx="2">
                <c:v>11007270.4</c:v>
              </c:pt>
              <c:pt idx="3">
                <c:v>6460173.2300000004</c:v>
              </c:pt>
            </c:numLit>
          </c:val>
          <c:extLst>
            <c:ext xmlns:c16="http://schemas.microsoft.com/office/drawing/2014/chart" uri="{C3380CC4-5D6E-409C-BE32-E72D297353CC}">
              <c16:uniqueId val="{00000000-0587-4A03-9CBB-0F1879F6C81D}"/>
            </c:ext>
          </c:extLst>
        </c:ser>
        <c:ser>
          <c:idx val="1"/>
          <c:order val="1"/>
          <c:tx>
            <c:v>Diageo Americas</c:v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JAMAICA RUM</c:v>
              </c:pt>
              <c:pt idx="1">
                <c:v>FLAVORED RUM</c:v>
              </c:pt>
              <c:pt idx="2">
                <c:v>PUERTO RICO &amp; VIRGIN ISLANDS RUM</c:v>
              </c:pt>
              <c:pt idx="3">
                <c:v>SPICED RUM</c:v>
              </c:pt>
            </c:strLit>
          </c:cat>
          <c:val>
            <c:numLit>
              <c:formatCode>General</c:formatCode>
              <c:ptCount val="4"/>
              <c:pt idx="0">
                <c:v>209950.94</c:v>
              </c:pt>
              <c:pt idx="1">
                <c:v>441450.6</c:v>
              </c:pt>
              <c:pt idx="2">
                <c:v>532451.35</c:v>
              </c:pt>
              <c:pt idx="3">
                <c:v>21801690.48</c:v>
              </c:pt>
            </c:numLit>
          </c:val>
          <c:extLst>
            <c:ext xmlns:c16="http://schemas.microsoft.com/office/drawing/2014/chart" uri="{C3380CC4-5D6E-409C-BE32-E72D297353CC}">
              <c16:uniqueId val="{00000001-0587-4A03-9CBB-0F1879F6C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5650064"/>
        <c:axId val="1325650544"/>
      </c:barChart>
      <c:catAx>
        <c:axId val="132565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50544"/>
        <c:crosses val="autoZero"/>
        <c:auto val="1"/>
        <c:lblAlgn val="ctr"/>
        <c:lblOffset val="100"/>
        <c:noMultiLvlLbl val="0"/>
      </c:catAx>
      <c:valAx>
        <c:axId val="13256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C2-45C1-B190-3950C4ACAA7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C2-45C1-B190-3950C4ACAA7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C2-45C1-B190-3950C4ACAA7C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C2-45C1-B190-3950C4ACAA7C}"/>
              </c:ext>
            </c:extLst>
          </c:dPt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24954306.66</c:v>
              </c:pt>
              <c:pt idx="1">
                <c:v>24269652.82</c:v>
              </c:pt>
              <c:pt idx="2">
                <c:v>13950913.369999999</c:v>
              </c:pt>
              <c:pt idx="3">
                <c:v>12637297.039999999</c:v>
              </c:pt>
            </c:numLit>
          </c:val>
          <c:extLst>
            <c:ext xmlns:c16="http://schemas.microsoft.com/office/drawing/2014/chart" uri="{C3380CC4-5D6E-409C-BE32-E72D297353CC}">
              <c16:uniqueId val="{00000008-62C2-45C1-B190-3950C4AC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5658224"/>
        <c:axId val="1325675024"/>
      </c:barChart>
      <c:catAx>
        <c:axId val="132565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75024"/>
        <c:crosses val="autoZero"/>
        <c:auto val="1"/>
        <c:lblAlgn val="ctr"/>
        <c:lblOffset val="100"/>
        <c:noMultiLvlLbl val="0"/>
      </c:catAx>
      <c:valAx>
        <c:axId val="13256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65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Competitors in </a:t>
            </a:r>
            <a:r>
              <a:rPr lang="en-US" baseline="0"/>
              <a:t>Spiced Rum</a:t>
            </a:r>
            <a:endParaRPr lang="en-US"/>
          </a:p>
        </c:rich>
      </c:tx>
      <c:layout>
        <c:manualLayout>
          <c:xMode val="edge"/>
          <c:yMode val="edge"/>
          <c:x val="0.28141359825416146"/>
          <c:y val="4.5033627717595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  <c:dLbl>
          <c:idx val="0"/>
          <c:layout>
            <c:manualLayout>
              <c:x val="0.1456469466387379"/>
              <c:y val="-1.911520962611854E-4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A8-447D-B96D-8F5A3E8C25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A8-447D-B96D-8F5A3E8C25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A8-447D-B96D-8F5A3E8C25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A8-447D-B96D-8F5A3E8C25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A8-447D-B96D-8F5A3E8C25E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Diageo Americas</c:v>
              </c:pt>
              <c:pt idx="1">
                <c:v>Heaven Hill Distilleries Inc.</c:v>
              </c:pt>
              <c:pt idx="2">
                <c:v>WILLIAM GRANT AND SONS INC.</c:v>
              </c:pt>
              <c:pt idx="3">
                <c:v>Luxco-St Louis</c:v>
              </c:pt>
              <c:pt idx="4">
                <c:v>Proximo</c:v>
              </c:pt>
            </c:strLit>
          </c:cat>
          <c:val>
            <c:numLit>
              <c:formatCode>General</c:formatCode>
              <c:ptCount val="5"/>
              <c:pt idx="0">
                <c:v>21801690.48</c:v>
              </c:pt>
              <c:pt idx="1">
                <c:v>3690515.27</c:v>
              </c:pt>
              <c:pt idx="2">
                <c:v>1012934.81</c:v>
              </c:pt>
              <c:pt idx="3">
                <c:v>391841.09</c:v>
              </c:pt>
              <c:pt idx="4">
                <c:v>374175.02</c:v>
              </c:pt>
            </c:numLit>
          </c:val>
          <c:extLst>
            <c:ext xmlns:c16="http://schemas.microsoft.com/office/drawing/2014/chart" uri="{C3380CC4-5D6E-409C-BE32-E72D297353CC}">
              <c16:uniqueId val="{0000000A-EAA8-447D-B96D-8F5A3E8C25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0</xdr:row>
      <xdr:rowOff>0</xdr:rowOff>
    </xdr:from>
    <xdr:to>
      <xdr:col>10</xdr:col>
      <xdr:colOff>317500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EABE3-BED8-9047-B0D6-02E3E9F4B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0</xdr:row>
      <xdr:rowOff>44449</xdr:rowOff>
    </xdr:from>
    <xdr:to>
      <xdr:col>7</xdr:col>
      <xdr:colOff>1759262</xdr:colOff>
      <xdr:row>36</xdr:row>
      <xdr:rowOff>176967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7EA09-1DA6-4074-BA02-294FEE89A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146538</xdr:rowOff>
    </xdr:from>
    <xdr:to>
      <xdr:col>12</xdr:col>
      <xdr:colOff>153517</xdr:colOff>
      <xdr:row>24</xdr:row>
      <xdr:rowOff>62801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52222-E3B0-4C54-9BEB-0ED67BFC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0</xdr:row>
      <xdr:rowOff>50800</xdr:rowOff>
    </xdr:from>
    <xdr:to>
      <xdr:col>11</xdr:col>
      <xdr:colOff>584200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33E3D-DD4C-4E92-8DE9-583B50608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0</xdr:row>
      <xdr:rowOff>6350</xdr:rowOff>
    </xdr:from>
    <xdr:to>
      <xdr:col>11</xdr:col>
      <xdr:colOff>342900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7468D-0976-44FB-9C74-A1BFD2178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25400</xdr:rowOff>
    </xdr:from>
    <xdr:to>
      <xdr:col>12</xdr:col>
      <xdr:colOff>120650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AC6CD-D844-45CA-8A4E-C5882A6A3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584200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89EC2-D4C3-4C27-97E8-122B916B6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6033</xdr:colOff>
      <xdr:row>2</xdr:row>
      <xdr:rowOff>5989</xdr:rowOff>
    </xdr:from>
    <xdr:to>
      <xdr:col>7</xdr:col>
      <xdr:colOff>155754</xdr:colOff>
      <xdr:row>23</xdr:row>
      <xdr:rowOff>71886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F3238-8EE7-4682-A500-899CA2D22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op10ProductsDiageo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Top4CategoriesDiageo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DiageoCategoryRevenue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Top10StoresDiageo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DiageoVsVendors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QuarterlySalesDiageo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Top10VendorsSpicedRum.xlsx" TargetMode="External"/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3.489439467594" createdVersion="8" refreshedVersion="8" minRefreshableVersion="3" recordCount="13" xr:uid="{6D2DED8F-DC17-4ADB-9587-45F1C9ED69A6}">
  <cacheSource type="worksheet">
    <worksheetSource ref="A1:I14" sheet="CaptainMorgan"/>
  </cacheSource>
  <cacheFields count="9">
    <cacheField name="product_name" numFmtId="0">
      <sharedItems count="13">
        <s v="Captain Morgan Spiced Rum"/>
        <s v="Captain Morgan Spiced Barrel"/>
        <s v="Captain Morgan Original Spiced"/>
        <s v="Captain Morgan Original Spiced Rum Pet"/>
        <s v="Captain Morgan Private Stock Rum"/>
        <s v="Captain Morgan 100 Proof Spiced Rum"/>
        <s v="Captain Morgan Spiced Rum Pet"/>
        <s v="Captain Morgan Spiced Rum Mini"/>
        <s v="Captain Morgan Black Spiced"/>
        <s v="Captain Morgan Tattoo"/>
        <s v="Captain Morgan Silver Spiced Rum"/>
        <s v="Captain Morgan Private Stock"/>
        <s v="Captain Morgan 1671"/>
      </sharedItems>
    </cacheField>
    <cacheField name="category_name" numFmtId="0">
      <sharedItems/>
    </cacheField>
    <cacheField name="min_btl_cost" numFmtId="0">
      <sharedItems containsSemiMixedTypes="0" containsString="0" containsNumber="1" minValue="2.0099999999999998" maxValue="19.5"/>
    </cacheField>
    <cacheField name="max_btl_cost" numFmtId="0">
      <sharedItems containsSemiMixedTypes="0" containsString="0" containsNumber="1" minValue="2.13" maxValue="19.5"/>
    </cacheField>
    <cacheField name="avg_btl_cost" numFmtId="0">
      <sharedItems containsSemiMixedTypes="0" containsString="0" containsNumber="1" minValue="2.0499999999999998" maxValue="19.5"/>
    </cacheField>
    <cacheField name="total_transactions" numFmtId="0">
      <sharedItems containsSemiMixedTypes="0" containsString="0" containsNumber="1" containsInteger="1" minValue="34" maxValue="33452"/>
    </cacheField>
    <cacheField name="total_bottles_sold" numFmtId="0">
      <sharedItems containsSemiMixedTypes="0" containsString="0" containsNumber="1" containsInteger="1" minValue="186" maxValue="685201"/>
    </cacheField>
    <cacheField name="total_revenue" numFmtId="8">
      <sharedItems containsSemiMixedTypes="0" containsString="0" containsNumber="1" minValue="2788.14" maxValue="12307709.529999999"/>
    </cacheField>
    <cacheField name="avg_bottle_price" numFmtId="0">
      <sharedItems containsSemiMixedTypes="0" containsString="0" containsNumber="1" minValue="3.08" maxValue="29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3.456918634256" createdVersion="8" refreshedVersion="8" minRefreshableVersion="3" recordCount="10" xr:uid="{A9C52488-B556-4CEE-8958-E7D307AED658}">
  <cacheSource type="worksheet">
    <worksheetSource ref="A1:F11" sheet="Data" r:id="rId2"/>
  </cacheSource>
  <cacheFields count="6">
    <cacheField name="product_name" numFmtId="0">
      <sharedItems count="10">
        <s v="Captain Morgan Spiced Rum"/>
        <s v="Crown Royal Canadian Whisky"/>
        <s v="Smirnoff Vodka 80 Prf"/>
        <s v="Seagrams 7 Crown Bl Whiskey"/>
        <s v="Crown Royal"/>
        <s v="Captain Morgan Spiced Barrel"/>
        <s v="Captain Morgan Original Spiced"/>
        <s v="Bailey's Original Irish Cream"/>
        <s v="Tanqueray Gin"/>
        <s v="Ketel One Imported Vodka"/>
      </sharedItems>
    </cacheField>
    <cacheField name="category_name" numFmtId="0">
      <sharedItems/>
    </cacheField>
    <cacheField name="total_transactions" numFmtId="0">
      <sharedItems containsSemiMixedTypes="0" containsString="0" containsNumber="1" containsInteger="1" minValue="6779" maxValue="35474"/>
    </cacheField>
    <cacheField name="total_bottles_sold" numFmtId="0">
      <sharedItems containsSemiMixedTypes="0" containsString="0" containsNumber="1" containsInteger="1" minValue="80555" maxValue="685201"/>
    </cacheField>
    <cacheField name="total_revenue" numFmtId="8">
      <sharedItems containsSemiMixedTypes="0" containsString="0" containsNumber="1" minValue="2117430.9500000002" maxValue="12307709.529999999"/>
    </cacheField>
    <cacheField name="avg_bottle_price" numFmtId="0">
      <sharedItems containsSemiMixedTypes="0" containsString="0" containsNumber="1" minValue="11.82" maxValue="26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3.471802546293" createdVersion="8" refreshedVersion="8" minRefreshableVersion="3" recordCount="4" xr:uid="{7DDF21EA-279A-483D-9E04-982DBBC57869}">
  <cacheSource type="worksheet">
    <worksheetSource ref="A1:F5" sheet="data" r:id="rId2"/>
  </cacheSource>
  <cacheFields count="6">
    <cacheField name="category" numFmtId="0">
      <sharedItems containsSemiMixedTypes="0" containsString="0" containsNumber="1" containsInteger="1" minValue="1062100" maxValue="1062310" count="4">
        <n v="1062310"/>
        <n v="1062200"/>
        <n v="1062300"/>
        <n v="1062100"/>
      </sharedItems>
    </cacheField>
    <cacheField name="category_name" numFmtId="0">
      <sharedItems count="4">
        <s v="SPICED RUM"/>
        <s v="PUERTO RICO &amp; VIRGIN ISLANDS RUM"/>
        <s v="FLAVORED RUM"/>
        <s v="JAMAICA RUM"/>
      </sharedItems>
    </cacheField>
    <cacheField name="total_transactions" numFmtId="0">
      <sharedItems containsSemiMixedTypes="0" containsString="0" containsNumber="1" containsInteger="1" minValue="4062" maxValue="146947"/>
    </cacheField>
    <cacheField name="total_bottles_sold" numFmtId="0">
      <sharedItems containsSemiMixedTypes="0" containsString="0" containsNumber="1" containsInteger="1" minValue="20648" maxValue="1863381"/>
    </cacheField>
    <cacheField name="total_revenue" numFmtId="8">
      <sharedItems containsSemiMixedTypes="0" containsString="0" containsNumber="1" minValue="336452.84" maxValue="28261863.710000001"/>
    </cacheField>
    <cacheField name="avg_bottle_price" numFmtId="0">
      <sharedItems containsSemiMixedTypes="0" containsString="0" containsNumber="1" minValue="11.37" maxValue="16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4.650437962962" createdVersion="8" refreshedVersion="8" minRefreshableVersion="3" recordCount="5" xr:uid="{90B25C2B-9AFA-4E65-BA05-9DD0CE2DA49B}">
  <cacheSource type="worksheet">
    <worksheetSource ref="A1:C6" sheet="data" r:id="rId2"/>
  </cacheSource>
  <cacheFields count="3">
    <cacheField name="category_id" numFmtId="0">
      <sharedItems containsSemiMixedTypes="0" containsString="0" containsNumber="1" containsInteger="1" minValue="1011100" maxValue="1062310"/>
    </cacheField>
    <cacheField name="category_name" numFmtId="0">
      <sharedItems count="5">
        <s v="SPICED RUM"/>
        <s v="CANADIAN WHISKIES"/>
        <s v="80 PROOF VODKA"/>
        <s v="BLENDED WHISKIES"/>
        <s v="SCOTCH WHISKIES"/>
      </sharedItems>
    </cacheField>
    <cacheField name="total_revenue" numFmtId="8">
      <sharedItems containsSemiMixedTypes="0" containsString="0" containsNumber="1" minValue="3357117.34" maxValue="21801690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4.639661574074" createdVersion="8" refreshedVersion="8" minRefreshableVersion="3" recordCount="10" xr:uid="{D297B656-464F-4707-89A0-89312033E712}">
  <cacheSource type="worksheet">
    <worksheetSource ref="A1:G11" sheet="data" r:id="rId2"/>
  </cacheSource>
  <cacheFields count="7">
    <cacheField name="store" numFmtId="0">
      <sharedItems containsSemiMixedTypes="0" containsString="0" containsNumber="1" containsInteger="1" minValue="2512" maxValue="4829"/>
    </cacheField>
    <cacheField name="store_name" numFmtId="0">
      <sharedItems count="10">
        <s v="Hy-vee #3 / Bdi / Des Moines"/>
        <s v="Central City 2"/>
        <s v="Costco Wholesale #788"/>
        <s v="Sam's Club 6344 / Windsor Heights"/>
        <s v="Sam's Club 8162 / Cedar Rapids"/>
        <s v="Lot-a-spirits"/>
        <s v="Hy-vee Wine and Spirits / Iowa City"/>
        <s v="Costco Wholesale #1111 / Coralville"/>
        <s v="Sam's Club 8238 / Davenport"/>
        <s v="Benz Distributing"/>
      </sharedItems>
    </cacheField>
    <cacheField name="store_address" numFmtId="0">
      <sharedItems/>
    </cacheField>
    <cacheField name="total_transactions" numFmtId="0">
      <sharedItems containsSemiMixedTypes="0" containsString="0" containsNumber="1" containsInteger="1" minValue="500" maxValue="4609"/>
    </cacheField>
    <cacheField name="total_bottles_sold" numFmtId="0">
      <sharedItems containsSemiMixedTypes="0" containsString="0" containsNumber="1" containsInteger="1" minValue="27356" maxValue="137719"/>
    </cacheField>
    <cacheField name="total_revenue" numFmtId="8">
      <sharedItems containsSemiMixedTypes="0" containsString="0" containsNumber="1" minValue="631863.57999999996" maxValue="2933981.25"/>
    </cacheField>
    <cacheField name="avg_bottle_price" numFmtId="0">
      <sharedItems containsSemiMixedTypes="0" containsString="0" containsNumber="1" minValue="20.440000000000001" maxValue="27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3.839405787039" createdVersion="8" refreshedVersion="8" minRefreshableVersion="3" recordCount="8" xr:uid="{B3219EA2-22CC-417B-A7E2-F30BCD6DC160}">
  <cacheSource type="worksheet">
    <worksheetSource ref="A1:F9" sheet="data" r:id="rId2"/>
  </cacheSource>
  <cacheFields count="6">
    <cacheField name="vendor_group" numFmtId="0">
      <sharedItems count="2">
        <s v="All Other Vendors"/>
        <s v="Diageo Americas"/>
      </sharedItems>
    </cacheField>
    <cacheField name="category_name" numFmtId="0">
      <sharedItems count="4">
        <s v="FLAVORED RUM"/>
        <s v="JAMAICA RUM"/>
        <s v="PUERTO RICO &amp; VIRGIN ISLANDS RUM"/>
        <s v="SPICED RUM"/>
      </sharedItems>
    </cacheField>
    <cacheField name="total_transactions" numFmtId="0">
      <sharedItems containsSemiMixedTypes="0" containsString="0" containsNumber="1" containsInteger="1" minValue="1742" maxValue="107920"/>
    </cacheField>
    <cacheField name="total_bottles_sold" numFmtId="0">
      <sharedItems containsSemiMixedTypes="0" containsString="0" containsNumber="1" containsInteger="1" minValue="8022" maxValue="1339816"/>
    </cacheField>
    <cacheField name="total_revenue" numFmtId="8">
      <sharedItems containsSemiMixedTypes="0" containsString="0" containsNumber="1" minValue="126501.9" maxValue="21801690.48"/>
    </cacheField>
    <cacheField name="avg_bottle_price" numFmtId="0">
      <sharedItems containsSemiMixedTypes="0" containsString="0" containsNumber="1" minValue="11.25" maxValue="16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4.634493055557" createdVersion="8" refreshedVersion="8" minRefreshableVersion="3" recordCount="4" xr:uid="{8519BD33-7853-49B4-B20B-2AD181A4262E}">
  <cacheSource type="worksheet">
    <worksheetSource ref="A1:D5" sheet="data" r:id="rId2"/>
  </cacheSource>
  <cacheFields count="4">
    <cacheField name="sales_quarter" numFmtId="0">
      <sharedItems count="4">
        <s v="Q1"/>
        <s v="Q2"/>
        <s v="Q3"/>
        <s v="Q4"/>
      </sharedItems>
    </cacheField>
    <cacheField name="total_transactions" numFmtId="0">
      <sharedItems containsSemiMixedTypes="0" containsString="0" containsNumber="1" containsInteger="1" minValue="68320" maxValue="155972"/>
    </cacheField>
    <cacheField name="total_bottles_sold" numFmtId="0">
      <sharedItems containsSemiMixedTypes="0" containsString="0" containsNumber="1" containsInteger="1" minValue="706385" maxValue="1448942"/>
    </cacheField>
    <cacheField name="total_revenue" numFmtId="0">
      <sharedItems containsSemiMixedTypes="0" containsString="0" containsNumber="1" minValue="12637297.039999999" maxValue="24954306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42.778073958332" createdVersion="8" refreshedVersion="8" minRefreshableVersion="3" recordCount="5" xr:uid="{348CADA5-D863-4F55-9E49-2AC4942105D1}">
  <cacheSource type="worksheet">
    <worksheetSource ref="A1:F6" sheet="Top10VendorsSpicedRum" r:id="rId2"/>
  </cacheSource>
  <cacheFields count="6">
    <cacheField name="vendor" numFmtId="0">
      <sharedItems count="5">
        <s v="Diageo Americas"/>
        <s v="Heaven Hill Distilleries Inc."/>
        <s v="WILLIAM GRANT AND SONS INC."/>
        <s v="Luxco-St Louis"/>
        <s v="Proximo"/>
      </sharedItems>
    </cacheField>
    <cacheField name="category_name" numFmtId="0">
      <sharedItems count="1">
        <s v="SPICED RUM"/>
      </sharedItems>
    </cacheField>
    <cacheField name="total_transactions" numFmtId="0">
      <sharedItems containsSemiMixedTypes="0" containsString="0" containsNumber="1" containsInteger="1" minValue="3689" maxValue="87523" count="5">
        <n v="87523"/>
        <n v="33611"/>
        <n v="9426"/>
        <n v="3928"/>
        <n v="3689"/>
      </sharedItems>
    </cacheField>
    <cacheField name="total_bottles_sold" numFmtId="0">
      <sharedItems containsSemiMixedTypes="0" containsString="0" containsNumber="1" containsInteger="1" minValue="22957" maxValue="1339816"/>
    </cacheField>
    <cacheField name="total_revenue" numFmtId="8">
      <sharedItems containsSemiMixedTypes="0" containsString="0" containsNumber="1" minValue="374175.02" maxValue="21801690.48" count="5">
        <n v="21801690.48"/>
        <n v="3690515.27"/>
        <n v="1012934.81"/>
        <n v="391841.09"/>
        <n v="374175.02"/>
      </sharedItems>
    </cacheField>
    <cacheField name="avg_bottle_price" numFmtId="0">
      <sharedItems containsSemiMixedTypes="0" containsString="0" containsNumber="1" minValue="11.36" maxValue="16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SPICED RUM"/>
    <n v="5"/>
    <n v="18"/>
    <n v="11.74"/>
    <n v="33452"/>
    <n v="685201"/>
    <n v="12307709.529999999"/>
    <n v="17.61"/>
  </r>
  <r>
    <x v="1"/>
    <s v="SPICED RUM"/>
    <n v="17.75"/>
    <n v="18"/>
    <n v="17.829999999999998"/>
    <n v="6779"/>
    <n v="128260"/>
    <n v="3430430.06"/>
    <n v="26.75"/>
  </r>
  <r>
    <x v="2"/>
    <s v="SPICED RUM"/>
    <n v="8.75"/>
    <n v="9"/>
    <n v="8.83"/>
    <n v="16128"/>
    <n v="235412"/>
    <n v="3118750.08"/>
    <n v="13.25"/>
  </r>
  <r>
    <x v="3"/>
    <s v="SPICED RUM"/>
    <n v="8.75"/>
    <n v="9"/>
    <n v="8.84"/>
    <n v="5871"/>
    <n v="91694"/>
    <n v="1214625.54"/>
    <n v="13.25"/>
  </r>
  <r>
    <x v="4"/>
    <s v="SPICED RUM"/>
    <n v="11.45"/>
    <n v="11.45"/>
    <n v="11.45"/>
    <n v="4028"/>
    <n v="24222"/>
    <n v="416133.96"/>
    <n v="17.18"/>
  </r>
  <r>
    <x v="5"/>
    <s v="SPICED RUM"/>
    <n v="10"/>
    <n v="10"/>
    <n v="10"/>
    <n v="3531"/>
    <n v="24401"/>
    <n v="365853.93"/>
    <n v="14.99"/>
  </r>
  <r>
    <x v="6"/>
    <s v="SPICED RUM"/>
    <n v="2.0099999999999998"/>
    <n v="2.13"/>
    <n v="2.0499999999999998"/>
    <n v="4307"/>
    <n v="94986"/>
    <n v="292820.21999999997"/>
    <n v="3.08"/>
  </r>
  <r>
    <x v="7"/>
    <s v="SPICED RUM"/>
    <n v="5.5"/>
    <n v="5.5"/>
    <n v="5.5"/>
    <n v="7595"/>
    <n v="25069"/>
    <n v="206819.25"/>
    <n v="8.25"/>
  </r>
  <r>
    <x v="8"/>
    <s v="SPICED RUM"/>
    <n v="11"/>
    <n v="11"/>
    <n v="11"/>
    <n v="2093"/>
    <n v="11342"/>
    <n v="187143"/>
    <n v="16.5"/>
  </r>
  <r>
    <x v="9"/>
    <s v="SPICED RUM"/>
    <n v="8.75"/>
    <n v="8.75"/>
    <n v="8.75"/>
    <n v="2068"/>
    <n v="10479"/>
    <n v="137516.15"/>
    <n v="13.12"/>
  </r>
  <r>
    <x v="10"/>
    <s v="SPICED RUM"/>
    <n v="8.5"/>
    <n v="8.5"/>
    <n v="8.5"/>
    <n v="1460"/>
    <n v="7839"/>
    <n v="99894.37"/>
    <n v="12.74"/>
  </r>
  <r>
    <x v="11"/>
    <s v="SPICED RUM"/>
    <n v="19.5"/>
    <n v="19.5"/>
    <n v="19.5"/>
    <n v="177"/>
    <n v="725"/>
    <n v="21206.25"/>
    <n v="29.25"/>
  </r>
  <r>
    <x v="12"/>
    <s v="SPICED RUM"/>
    <n v="9.99"/>
    <n v="9.99"/>
    <n v="9.99"/>
    <n v="34"/>
    <n v="186"/>
    <n v="2788.14"/>
    <n v="14.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SPICED RUM"/>
    <n v="33452"/>
    <n v="685201"/>
    <n v="12307709.529999999"/>
    <n v="17.61"/>
  </r>
  <r>
    <x v="1"/>
    <s v="CANADIAN WHISKIES"/>
    <n v="25786"/>
    <n v="340293"/>
    <n v="8709129.0399999991"/>
    <n v="24.77"/>
  </r>
  <r>
    <x v="2"/>
    <s v="80 PROOF VODKA"/>
    <n v="32318"/>
    <n v="382788"/>
    <n v="4406488.93"/>
    <n v="11.82"/>
  </r>
  <r>
    <x v="3"/>
    <s v="BLENDED WHISKIES"/>
    <n v="35474"/>
    <n v="318906"/>
    <n v="3923819.48"/>
    <n v="12.43"/>
  </r>
  <r>
    <x v="4"/>
    <s v="CANADIAN WHISKIES"/>
    <n v="11609"/>
    <n v="173944"/>
    <n v="3774346.27"/>
    <n v="21.48"/>
  </r>
  <r>
    <x v="5"/>
    <s v="SPICED RUM"/>
    <n v="6779"/>
    <n v="128260"/>
    <n v="3430430.06"/>
    <n v="26.75"/>
  </r>
  <r>
    <x v="6"/>
    <s v="SPICED RUM"/>
    <n v="16128"/>
    <n v="235412"/>
    <n v="3118750.08"/>
    <n v="13.25"/>
  </r>
  <r>
    <x v="7"/>
    <s v="CREAM LIQUEURS"/>
    <n v="11428"/>
    <n v="114930"/>
    <n v="2601938.31"/>
    <n v="23.62"/>
  </r>
  <r>
    <x v="8"/>
    <s v="IMPORTED DRY GINS"/>
    <n v="12633"/>
    <n v="107931"/>
    <n v="2419157.02"/>
    <n v="21.78"/>
  </r>
  <r>
    <x v="9"/>
    <s v="IMPORTED VODKA"/>
    <n v="7727"/>
    <n v="80555"/>
    <n v="2117430.9500000002"/>
    <n v="25.7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46947"/>
    <n v="1863381"/>
    <n v="28261863.710000001"/>
    <n v="14.33"/>
  </r>
  <r>
    <x v="1"/>
    <x v="1"/>
    <n v="112186"/>
    <n v="1036457"/>
    <n v="11539721.75"/>
    <n v="11.37"/>
  </r>
  <r>
    <x v="2"/>
    <x v="2"/>
    <n v="74648"/>
    <n v="554719"/>
    <n v="7281922.5499999998"/>
    <n v="12.66"/>
  </r>
  <r>
    <x v="3"/>
    <x v="3"/>
    <n v="4062"/>
    <n v="20648"/>
    <n v="336452.84"/>
    <n v="16.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62310"/>
    <x v="0"/>
    <n v="21801690.48"/>
  </r>
  <r>
    <n v="1012100"/>
    <x v="1"/>
    <n v="14677374.449999999"/>
  </r>
  <r>
    <n v="1031080"/>
    <x v="2"/>
    <n v="8689907.8699999992"/>
  </r>
  <r>
    <n v="1011100"/>
    <x v="3"/>
    <n v="4541340.1500000004"/>
  </r>
  <r>
    <n v="1012200"/>
    <x v="4"/>
    <n v="3357117.3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633"/>
    <x v="0"/>
    <s v="3221 Se 14th St_x000a_Des Moines, IA 503200000_x000a_(41.55407025200003, -93.59676391599999)"/>
    <n v="4609"/>
    <n v="137719"/>
    <n v="2933981.25"/>
    <n v="21.49"/>
  </r>
  <r>
    <n v="4829"/>
    <x v="1"/>
    <s v="1501 Michigan Ave_x000a_Des Moines, IA 50314_x000a_(41.60583075100004, -93.61375431199997)"/>
    <n v="4141"/>
    <n v="114066"/>
    <n v="2464432.46"/>
    <n v="23.8"/>
  </r>
  <r>
    <n v="3814"/>
    <x v="2"/>
    <s v="7205 Mills Civic Pkwy_x000a_West Des Moines, IA 502660000_x000a_(41.56158773800007, -93.80428295799999)"/>
    <n v="771"/>
    <n v="54674"/>
    <n v="1505935.25"/>
    <n v="27.93"/>
  </r>
  <r>
    <n v="3420"/>
    <x v="3"/>
    <s v="1101 73rd Street_x000a_Windsor Heights, IA 503110000_x000a_(41.597748839000076, -93.71836318499999)"/>
    <n v="1211"/>
    <n v="56388"/>
    <n v="1304648.8799999999"/>
    <n v="22.37"/>
  </r>
  <r>
    <n v="3385"/>
    <x v="4"/>
    <s v="2605 Blairs Ferry Rd Ne_x000a_Cedar Rapids, IA 524020000_x000a_(42.03468354000006, -91.68021044599999)"/>
    <n v="1178"/>
    <n v="53199"/>
    <n v="1202069.28"/>
    <n v="23.93"/>
  </r>
  <r>
    <n v="3952"/>
    <x v="5"/>
    <s v="3780 State St_x000a_Bettendorf, IA 527220000_x000a_(41.529565827000056, -90.48082335099997)"/>
    <n v="2079"/>
    <n v="40326"/>
    <n v="852072.45"/>
    <n v="24.22"/>
  </r>
  <r>
    <n v="2512"/>
    <x v="6"/>
    <s v="1720 Waterfront Dr_x000a_Iowa City, IA 522400000_x000a_(41.64292615900007, -91.53064887599999)"/>
    <n v="3219"/>
    <n v="42562"/>
    <n v="813114.01"/>
    <n v="20.440000000000001"/>
  </r>
  <r>
    <n v="4677"/>
    <x v="7"/>
    <s v="2900 Heartland Dr_x000a_Coralville, IA 52241_x000a_(41.69794646400004, -91.61526092999998)"/>
    <n v="500"/>
    <n v="27356"/>
    <n v="705868.63"/>
    <n v="27.18"/>
  </r>
  <r>
    <n v="3354"/>
    <x v="8"/>
    <s v="3845 Elmore Ave._x000a_Davenport, IA 528070000_x000a_(41.55976901200006, -90.52713019399994)"/>
    <n v="980"/>
    <n v="31576"/>
    <n v="694310.8"/>
    <n v="21.01"/>
  </r>
  <r>
    <n v="3773"/>
    <x v="9"/>
    <s v="501 7th Ave Se_x000a_Cedar Rapids, IA 524010000_x000a_(41.975795025000025, -91.65975629199994)"/>
    <n v="1758"/>
    <n v="30393"/>
    <n v="631863.57999999996"/>
    <n v="24.9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67160"/>
    <n v="517192"/>
    <n v="6840471.9500000002"/>
    <n v="12.76"/>
  </r>
  <r>
    <x v="1"/>
    <x v="0"/>
    <n v="7488"/>
    <n v="37527"/>
    <n v="441450.6"/>
    <n v="11.78"/>
  </r>
  <r>
    <x v="1"/>
    <x v="1"/>
    <n v="2320"/>
    <n v="12626"/>
    <n v="209950.94"/>
    <n v="16.16"/>
  </r>
  <r>
    <x v="0"/>
    <x v="1"/>
    <n v="1742"/>
    <n v="8022"/>
    <n v="126501.9"/>
    <n v="15.85"/>
  </r>
  <r>
    <x v="0"/>
    <x v="2"/>
    <n v="107920"/>
    <n v="1000544"/>
    <n v="11007270.4"/>
    <n v="11.25"/>
  </r>
  <r>
    <x v="1"/>
    <x v="2"/>
    <n v="4266"/>
    <n v="35913"/>
    <n v="532451.35"/>
    <n v="14.42"/>
  </r>
  <r>
    <x v="1"/>
    <x v="3"/>
    <n v="87523"/>
    <n v="1339816"/>
    <n v="21801690.48"/>
    <n v="15.38"/>
  </r>
  <r>
    <x v="0"/>
    <x v="3"/>
    <n v="59424"/>
    <n v="523565"/>
    <n v="6460173.2300000004"/>
    <n v="12.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55972"/>
    <n v="1448942"/>
    <n v="24954306.66"/>
  </r>
  <r>
    <x v="1"/>
    <n v="144387"/>
    <n v="1405489"/>
    <n v="24269652.82"/>
  </r>
  <r>
    <x v="2"/>
    <n v="88354"/>
    <n v="816659"/>
    <n v="13950913.369999999"/>
  </r>
  <r>
    <x v="3"/>
    <n v="68320"/>
    <n v="706385"/>
    <n v="12637297.03999999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339816"/>
    <x v="0"/>
    <n v="15.38"/>
  </r>
  <r>
    <x v="1"/>
    <x v="0"/>
    <x v="1"/>
    <n v="331791"/>
    <x v="1"/>
    <n v="11.36"/>
  </r>
  <r>
    <x v="2"/>
    <x v="0"/>
    <x v="2"/>
    <n v="65774"/>
    <x v="2"/>
    <n v="15.86"/>
  </r>
  <r>
    <x v="3"/>
    <x v="0"/>
    <x v="3"/>
    <n v="29182"/>
    <x v="3"/>
    <n v="13.77"/>
  </r>
  <r>
    <x v="4"/>
    <x v="0"/>
    <x v="4"/>
    <n v="22957"/>
    <x v="4"/>
    <n v="16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1D7D0-20CF-4C96-8F79-BFBA5BCC1D1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7" firstHeaderRow="1" firstDataRow="1" firstDataCol="1"/>
  <pivotFields count="9">
    <pivotField axis="axisRow" showAll="0" sortType="ascending">
      <items count="14">
        <item x="5"/>
        <item x="12"/>
        <item x="8"/>
        <item x="2"/>
        <item x="3"/>
        <item h="1" x="11"/>
        <item h="1" x="4"/>
        <item h="1" x="10"/>
        <item h="1" x="1"/>
        <item h="1" x="0"/>
        <item h="1" x="7"/>
        <item h="1" x="6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8" showAll="0"/>
    <pivotField showAll="0"/>
  </pivotFields>
  <rowFields count="1">
    <field x="0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Total Revenue" fld="7" baseField="0" baseItem="1" numFmtId="8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84510-204F-4C21-8F55-724754FA4C8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12" firstHeaderRow="1" firstDataRow="1" firstDataCol="1"/>
  <pivotFields count="6">
    <pivotField axis="axisRow" showAll="0" sortType="ascending">
      <items count="11">
        <item x="7"/>
        <item x="6"/>
        <item x="5"/>
        <item x="0"/>
        <item x="4"/>
        <item x="1"/>
        <item x="9"/>
        <item x="3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8" showAll="0"/>
    <pivotField showAll="0"/>
  </pivotFields>
  <rowFields count="1">
    <field x="0"/>
  </rowFields>
  <rowItems count="11">
    <i>
      <x v="6"/>
    </i>
    <i>
      <x v="9"/>
    </i>
    <i>
      <x/>
    </i>
    <i>
      <x v="1"/>
    </i>
    <i>
      <x v="2"/>
    </i>
    <i>
      <x v="4"/>
    </i>
    <i>
      <x v="7"/>
    </i>
    <i>
      <x v="8"/>
    </i>
    <i>
      <x v="5"/>
    </i>
    <i>
      <x v="3"/>
    </i>
    <i t="grand">
      <x/>
    </i>
  </rowItems>
  <colItems count="1">
    <i/>
  </colItems>
  <dataFields count="1">
    <dataField name="Total Revenue" fld="4" baseField="0" baseItem="0" numFmtId="8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0AE0F-677B-467B-916E-638C8ACCCB58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6" firstHeaderRow="1" firstDataRow="1" firstDataCol="1"/>
  <pivotFields count="6">
    <pivotField showAll="0">
      <items count="5">
        <item x="3"/>
        <item x="1"/>
        <item x="2"/>
        <item x="0"/>
        <item t="default"/>
      </items>
    </pivotField>
    <pivotField axis="axisRow"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8" showAll="0"/>
    <pivotField showAll="0"/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Total Revenue" fld="4" baseField="0" baseItem="0" numFmtId="8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4DC52-1A16-433A-A576-E68A0563D8F0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7" firstHeaderRow="1" firstDataRow="1" firstDataCol="1"/>
  <pivotFields count="3">
    <pivotField showAll="0"/>
    <pivotField axis="axisRow" showAll="0" sortType="a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8" showAll="0"/>
  </pivotFields>
  <rowFields count="1">
    <field x="1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Total Revenue" fld="2" baseField="0" baseItem="0" numFmtId="8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4B21B-BFE5-44EA-A3CF-7619FCDC77AD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2" firstHeaderRow="1" firstDataRow="1" firstDataCol="1"/>
  <pivotFields count="7">
    <pivotField showAll="0"/>
    <pivotField axis="axisRow" showAll="0" sortType="ascending">
      <items count="11">
        <item x="9"/>
        <item x="1"/>
        <item n="Costco Wholesale #1111 " x="7"/>
        <item x="2"/>
        <item n="Hy-vee #3 " x="0"/>
        <item n="Hy-vee Wine and Spirits" x="6"/>
        <item x="5"/>
        <item n="Sam's Club 6344 " x="3"/>
        <item n="Sam's Club 8162 " x="4"/>
        <item n="Sam's Club 8238 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8" showAll="0"/>
    <pivotField showAll="0"/>
  </pivotFields>
  <rowFields count="1">
    <field x="1"/>
  </rowFields>
  <rowItems count="11">
    <i>
      <x/>
    </i>
    <i>
      <x v="9"/>
    </i>
    <i>
      <x v="2"/>
    </i>
    <i>
      <x v="5"/>
    </i>
    <i>
      <x v="6"/>
    </i>
    <i>
      <x v="8"/>
    </i>
    <i>
      <x v="7"/>
    </i>
    <i>
      <x v="3"/>
    </i>
    <i>
      <x v="1"/>
    </i>
    <i>
      <x v="4"/>
    </i>
    <i t="grand">
      <x/>
    </i>
  </rowItems>
  <colItems count="1">
    <i/>
  </colItems>
  <dataFields count="1">
    <dataField name="Total Revenue" fld="5" baseField="0" baseItem="0" numFmtId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E62C7-2505-43F4-ABB7-9B5BA20FBABB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D7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8" showAll="0"/>
    <pivotField showAll="0"/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Revenue" fld="4" baseField="0" baseItem="0" numFmtId="8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23A7D-A666-4674-AAEF-72A394906BDC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4">
    <pivotField axis="axisRow" showAll="0" sortType="ascending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F5FF0-B492-41EA-B2CE-B0D6C0864F8C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9" firstHeaderRow="1" firstDataRow="1" firstDataCol="1"/>
  <pivotFields count="6">
    <pivotField name="Vendors" axis="axisRow" showAll="0" sortType="descending">
      <items count="6">
        <item x="0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dataField="1" numFmtId="8" showAll="0">
      <items count="6"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Total Revenue" fld="4" baseField="0" baseItem="0" numFmtId="8"/>
  </dataFields>
  <chartFormats count="6">
    <chartFormat chart="0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0056-8FDF-44C7-91EC-E390E7211173}">
  <dimension ref="A1:B7"/>
  <sheetViews>
    <sheetView workbookViewId="0">
      <selection activeCell="A22" sqref="A22"/>
    </sheetView>
  </sheetViews>
  <sheetFormatPr defaultRowHeight="14.5" x14ac:dyDescent="0.35"/>
  <cols>
    <col min="1" max="1" width="33.6328125" bestFit="1" customWidth="1"/>
    <col min="2" max="2" width="13.1796875" bestFit="1" customWidth="1"/>
  </cols>
  <sheetData>
    <row r="1" spans="1:2" x14ac:dyDescent="0.35">
      <c r="A1" s="2" t="s">
        <v>16</v>
      </c>
      <c r="B1" t="s">
        <v>18</v>
      </c>
    </row>
    <row r="2" spans="1:2" x14ac:dyDescent="0.35">
      <c r="A2" s="3" t="s">
        <v>25</v>
      </c>
      <c r="B2" s="1">
        <v>2788.14</v>
      </c>
    </row>
    <row r="3" spans="1:2" x14ac:dyDescent="0.35">
      <c r="A3" s="3" t="s">
        <v>14</v>
      </c>
      <c r="B3" s="1">
        <v>187143</v>
      </c>
    </row>
    <row r="4" spans="1:2" x14ac:dyDescent="0.35">
      <c r="A4" s="3" t="s">
        <v>13</v>
      </c>
      <c r="B4" s="1">
        <v>365853.93</v>
      </c>
    </row>
    <row r="5" spans="1:2" x14ac:dyDescent="0.35">
      <c r="A5" s="3" t="s">
        <v>20</v>
      </c>
      <c r="B5" s="1">
        <v>1214625.54</v>
      </c>
    </row>
    <row r="6" spans="1:2" x14ac:dyDescent="0.35">
      <c r="A6" s="3" t="s">
        <v>19</v>
      </c>
      <c r="B6" s="1">
        <v>3118750.08</v>
      </c>
    </row>
    <row r="7" spans="1:2" x14ac:dyDescent="0.35">
      <c r="A7" s="3" t="s">
        <v>17</v>
      </c>
      <c r="B7" s="1">
        <v>4889160.6900000004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CD1F-18C0-47B3-9F40-BFFBE6D468C0}">
  <dimension ref="A1:I20"/>
  <sheetViews>
    <sheetView workbookViewId="0">
      <selection activeCell="D1" sqref="D1:D1048576"/>
    </sheetView>
  </sheetViews>
  <sheetFormatPr defaultRowHeight="14.5" x14ac:dyDescent="0.35"/>
  <cols>
    <col min="1" max="1" width="33.6328125" bestFit="1" customWidth="1"/>
    <col min="2" max="2" width="13.26953125" bestFit="1" customWidth="1"/>
    <col min="3" max="3" width="11.08984375" bestFit="1" customWidth="1"/>
    <col min="4" max="4" width="11.453125" bestFit="1" customWidth="1"/>
    <col min="5" max="5" width="10.81640625" bestFit="1" customWidth="1"/>
    <col min="6" max="6" width="15.6328125" bestFit="1" customWidth="1"/>
    <col min="7" max="7" width="15.26953125" bestFit="1" customWidth="1"/>
    <col min="8" max="8" width="14.1796875" bestFit="1" customWidth="1"/>
    <col min="9" max="9" width="14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5</v>
      </c>
      <c r="D2">
        <v>18</v>
      </c>
      <c r="E2">
        <v>11.74</v>
      </c>
      <c r="F2">
        <v>33452</v>
      </c>
      <c r="G2">
        <v>685201</v>
      </c>
      <c r="H2" s="1">
        <v>12307709.529999999</v>
      </c>
      <c r="I2">
        <v>17.61</v>
      </c>
    </row>
    <row r="3" spans="1:9" x14ac:dyDescent="0.35">
      <c r="A3" t="s">
        <v>11</v>
      </c>
      <c r="B3" t="s">
        <v>10</v>
      </c>
      <c r="C3">
        <v>17.75</v>
      </c>
      <c r="D3">
        <v>18</v>
      </c>
      <c r="E3">
        <v>17.829999999999998</v>
      </c>
      <c r="F3">
        <v>6779</v>
      </c>
      <c r="G3">
        <v>128260</v>
      </c>
      <c r="H3" s="1">
        <v>3430430.06</v>
      </c>
      <c r="I3">
        <v>26.75</v>
      </c>
    </row>
    <row r="4" spans="1:9" x14ac:dyDescent="0.35">
      <c r="A4" t="s">
        <v>19</v>
      </c>
      <c r="B4" t="s">
        <v>10</v>
      </c>
      <c r="C4">
        <v>8.75</v>
      </c>
      <c r="D4">
        <v>9</v>
      </c>
      <c r="E4">
        <v>8.83</v>
      </c>
      <c r="F4">
        <v>16128</v>
      </c>
      <c r="G4">
        <v>235412</v>
      </c>
      <c r="H4" s="1">
        <v>3118750.08</v>
      </c>
      <c r="I4">
        <v>13.25</v>
      </c>
    </row>
    <row r="5" spans="1:9" x14ac:dyDescent="0.35">
      <c r="A5" t="s">
        <v>20</v>
      </c>
      <c r="B5" t="s">
        <v>10</v>
      </c>
      <c r="C5">
        <v>8.75</v>
      </c>
      <c r="D5">
        <v>9</v>
      </c>
      <c r="E5">
        <v>8.84</v>
      </c>
      <c r="F5">
        <v>5871</v>
      </c>
      <c r="G5">
        <v>91694</v>
      </c>
      <c r="H5" s="1">
        <v>1214625.54</v>
      </c>
      <c r="I5">
        <v>13.25</v>
      </c>
    </row>
    <row r="6" spans="1:9" x14ac:dyDescent="0.35">
      <c r="A6" t="s">
        <v>12</v>
      </c>
      <c r="B6" t="s">
        <v>10</v>
      </c>
      <c r="C6">
        <v>11.45</v>
      </c>
      <c r="D6">
        <v>11.45</v>
      </c>
      <c r="E6">
        <v>11.45</v>
      </c>
      <c r="F6">
        <v>4028</v>
      </c>
      <c r="G6">
        <v>24222</v>
      </c>
      <c r="H6" s="1">
        <v>416133.96</v>
      </c>
      <c r="I6">
        <v>17.18</v>
      </c>
    </row>
    <row r="7" spans="1:9" x14ac:dyDescent="0.35">
      <c r="A7" t="s">
        <v>13</v>
      </c>
      <c r="B7" t="s">
        <v>10</v>
      </c>
      <c r="C7">
        <v>10</v>
      </c>
      <c r="D7">
        <v>10</v>
      </c>
      <c r="E7">
        <v>10</v>
      </c>
      <c r="F7">
        <v>3531</v>
      </c>
      <c r="G7">
        <v>24401</v>
      </c>
      <c r="H7" s="1">
        <v>365853.93</v>
      </c>
      <c r="I7">
        <v>14.99</v>
      </c>
    </row>
    <row r="8" spans="1:9" x14ac:dyDescent="0.35">
      <c r="A8" t="s">
        <v>21</v>
      </c>
      <c r="B8" t="s">
        <v>10</v>
      </c>
      <c r="C8">
        <v>2.0099999999999998</v>
      </c>
      <c r="D8">
        <v>2.13</v>
      </c>
      <c r="E8">
        <v>2.0499999999999998</v>
      </c>
      <c r="F8">
        <v>4307</v>
      </c>
      <c r="G8">
        <v>94986</v>
      </c>
      <c r="H8" s="1">
        <v>292820.21999999997</v>
      </c>
      <c r="I8">
        <v>3.08</v>
      </c>
    </row>
    <row r="9" spans="1:9" x14ac:dyDescent="0.35">
      <c r="A9" t="s">
        <v>22</v>
      </c>
      <c r="B9" t="s">
        <v>10</v>
      </c>
      <c r="C9">
        <v>5.5</v>
      </c>
      <c r="D9">
        <v>5.5</v>
      </c>
      <c r="E9">
        <v>5.5</v>
      </c>
      <c r="F9">
        <v>7595</v>
      </c>
      <c r="G9">
        <v>25069</v>
      </c>
      <c r="H9" s="1">
        <v>206819.25</v>
      </c>
      <c r="I9">
        <v>8.25</v>
      </c>
    </row>
    <row r="10" spans="1:9" x14ac:dyDescent="0.35">
      <c r="A10" t="s">
        <v>14</v>
      </c>
      <c r="B10" t="s">
        <v>10</v>
      </c>
      <c r="C10">
        <v>11</v>
      </c>
      <c r="D10">
        <v>11</v>
      </c>
      <c r="E10">
        <v>11</v>
      </c>
      <c r="F10">
        <v>2093</v>
      </c>
      <c r="G10">
        <v>11342</v>
      </c>
      <c r="H10" s="1">
        <v>187143</v>
      </c>
      <c r="I10">
        <v>16.5</v>
      </c>
    </row>
    <row r="11" spans="1:9" x14ac:dyDescent="0.35">
      <c r="A11" t="s">
        <v>23</v>
      </c>
      <c r="B11" t="s">
        <v>10</v>
      </c>
      <c r="C11">
        <v>8.75</v>
      </c>
      <c r="D11">
        <v>8.75</v>
      </c>
      <c r="E11">
        <v>8.75</v>
      </c>
      <c r="F11">
        <v>2068</v>
      </c>
      <c r="G11">
        <v>10479</v>
      </c>
      <c r="H11" s="1">
        <v>137516.15</v>
      </c>
      <c r="I11">
        <v>13.12</v>
      </c>
    </row>
    <row r="12" spans="1:9" x14ac:dyDescent="0.35">
      <c r="A12" t="s">
        <v>24</v>
      </c>
      <c r="B12" t="s">
        <v>10</v>
      </c>
      <c r="C12">
        <v>8.5</v>
      </c>
      <c r="D12">
        <v>8.5</v>
      </c>
      <c r="E12">
        <v>8.5</v>
      </c>
      <c r="F12">
        <v>1460</v>
      </c>
      <c r="G12">
        <v>7839</v>
      </c>
      <c r="H12" s="1">
        <v>99894.37</v>
      </c>
      <c r="I12">
        <v>12.74</v>
      </c>
    </row>
    <row r="13" spans="1:9" x14ac:dyDescent="0.35">
      <c r="A13" t="s">
        <v>15</v>
      </c>
      <c r="B13" t="s">
        <v>10</v>
      </c>
      <c r="C13">
        <v>19.5</v>
      </c>
      <c r="D13">
        <v>19.5</v>
      </c>
      <c r="E13">
        <v>19.5</v>
      </c>
      <c r="F13">
        <v>177</v>
      </c>
      <c r="G13">
        <v>725</v>
      </c>
      <c r="H13" s="1">
        <v>21206.25</v>
      </c>
      <c r="I13">
        <v>29.25</v>
      </c>
    </row>
    <row r="14" spans="1:9" x14ac:dyDescent="0.35">
      <c r="A14" t="s">
        <v>25</v>
      </c>
      <c r="B14" t="s">
        <v>10</v>
      </c>
      <c r="C14">
        <v>9.99</v>
      </c>
      <c r="D14">
        <v>9.99</v>
      </c>
      <c r="E14">
        <v>9.99</v>
      </c>
      <c r="F14">
        <v>34</v>
      </c>
      <c r="G14">
        <v>186</v>
      </c>
      <c r="H14" s="1">
        <v>2788.14</v>
      </c>
      <c r="I14">
        <v>14.99</v>
      </c>
    </row>
    <row r="15" spans="1:9" x14ac:dyDescent="0.35">
      <c r="H15" s="1"/>
    </row>
    <row r="16" spans="1:9" x14ac:dyDescent="0.35">
      <c r="H16" s="1"/>
    </row>
    <row r="17" spans="8:8" x14ac:dyDescent="0.35">
      <c r="H17" s="1"/>
    </row>
    <row r="18" spans="8:8" x14ac:dyDescent="0.35">
      <c r="H18" s="1"/>
    </row>
    <row r="19" spans="8:8" x14ac:dyDescent="0.35">
      <c r="H19" s="1"/>
    </row>
    <row r="20" spans="8:8" x14ac:dyDescent="0.35">
      <c r="H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AA35-2996-4711-BDB7-F3FB87E991F4}">
  <dimension ref="A1:B12"/>
  <sheetViews>
    <sheetView zoomScale="52" workbookViewId="0">
      <selection activeCell="I9" sqref="I9"/>
    </sheetView>
  </sheetViews>
  <sheetFormatPr defaultRowHeight="14.5" x14ac:dyDescent="0.35"/>
  <cols>
    <col min="1" max="1" width="27.36328125" bestFit="1" customWidth="1"/>
    <col min="2" max="2" width="14.54296875" bestFit="1" customWidth="1"/>
    <col min="3" max="10" width="27.36328125" bestFit="1" customWidth="1"/>
    <col min="11" max="11" width="10.36328125" bestFit="1" customWidth="1"/>
  </cols>
  <sheetData>
    <row r="1" spans="1:2" x14ac:dyDescent="0.35">
      <c r="A1" s="2" t="s">
        <v>16</v>
      </c>
      <c r="B1" t="s">
        <v>18</v>
      </c>
    </row>
    <row r="2" spans="1:2" x14ac:dyDescent="0.35">
      <c r="A2" s="3" t="s">
        <v>37</v>
      </c>
      <c r="B2" s="1">
        <v>2117430.9500000002</v>
      </c>
    </row>
    <row r="3" spans="1:2" x14ac:dyDescent="0.35">
      <c r="A3" s="3" t="s">
        <v>35</v>
      </c>
      <c r="B3" s="1">
        <v>2419157.02</v>
      </c>
    </row>
    <row r="4" spans="1:2" x14ac:dyDescent="0.35">
      <c r="A4" s="3" t="s">
        <v>33</v>
      </c>
      <c r="B4" s="1">
        <v>2601938.31</v>
      </c>
    </row>
    <row r="5" spans="1:2" x14ac:dyDescent="0.35">
      <c r="A5" s="3" t="s">
        <v>19</v>
      </c>
      <c r="B5" s="1">
        <v>3118750.08</v>
      </c>
    </row>
    <row r="6" spans="1:2" x14ac:dyDescent="0.35">
      <c r="A6" s="3" t="s">
        <v>11</v>
      </c>
      <c r="B6" s="1">
        <v>3430430.06</v>
      </c>
    </row>
    <row r="7" spans="1:2" x14ac:dyDescent="0.35">
      <c r="A7" s="3" t="s">
        <v>32</v>
      </c>
      <c r="B7" s="1">
        <v>3774346.27</v>
      </c>
    </row>
    <row r="8" spans="1:2" x14ac:dyDescent="0.35">
      <c r="A8" s="3" t="s">
        <v>30</v>
      </c>
      <c r="B8" s="1">
        <v>3923819.48</v>
      </c>
    </row>
    <row r="9" spans="1:2" x14ac:dyDescent="0.35">
      <c r="A9" s="3" t="s">
        <v>28</v>
      </c>
      <c r="B9" s="1">
        <v>4406488.93</v>
      </c>
    </row>
    <row r="10" spans="1:2" x14ac:dyDescent="0.35">
      <c r="A10" s="3" t="s">
        <v>26</v>
      </c>
      <c r="B10" s="1">
        <v>8709129.0399999991</v>
      </c>
    </row>
    <row r="11" spans="1:2" x14ac:dyDescent="0.35">
      <c r="A11" s="3" t="s">
        <v>9</v>
      </c>
      <c r="B11" s="1">
        <v>12307709.529999999</v>
      </c>
    </row>
    <row r="12" spans="1:2" x14ac:dyDescent="0.35">
      <c r="A12" s="3" t="s">
        <v>17</v>
      </c>
      <c r="B12" s="1">
        <v>46809199.670000002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D111-709D-4473-B394-CFA2E9F0D554}">
  <dimension ref="A1:F11"/>
  <sheetViews>
    <sheetView topLeftCell="A2" zoomScaleNormal="100" workbookViewId="0">
      <selection activeCell="E21" sqref="E21"/>
    </sheetView>
  </sheetViews>
  <sheetFormatPr defaultRowHeight="14.5" x14ac:dyDescent="0.35"/>
  <cols>
    <col min="1" max="1" width="26.36328125" bestFit="1" customWidth="1"/>
    <col min="2" max="2" width="18" bestFit="1" customWidth="1"/>
    <col min="3" max="3" width="15.6328125" bestFit="1" customWidth="1"/>
    <col min="4" max="4" width="15.26953125" bestFit="1" customWidth="1"/>
    <col min="5" max="5" width="14.1796875" bestFit="1" customWidth="1"/>
    <col min="6" max="6" width="14.08984375" bestFit="1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9</v>
      </c>
      <c r="B2" t="s">
        <v>10</v>
      </c>
      <c r="C2">
        <v>33452</v>
      </c>
      <c r="D2">
        <v>685201</v>
      </c>
      <c r="E2" s="1">
        <v>12307709.529999999</v>
      </c>
      <c r="F2">
        <v>17.61</v>
      </c>
    </row>
    <row r="3" spans="1:6" x14ac:dyDescent="0.35">
      <c r="A3" t="s">
        <v>26</v>
      </c>
      <c r="B3" t="s">
        <v>27</v>
      </c>
      <c r="C3">
        <v>25786</v>
      </c>
      <c r="D3">
        <v>340293</v>
      </c>
      <c r="E3" s="1">
        <v>8709129.0399999991</v>
      </c>
      <c r="F3">
        <v>24.77</v>
      </c>
    </row>
    <row r="4" spans="1:6" x14ac:dyDescent="0.35">
      <c r="A4" t="s">
        <v>28</v>
      </c>
      <c r="B4" t="s">
        <v>29</v>
      </c>
      <c r="C4">
        <v>32318</v>
      </c>
      <c r="D4">
        <v>382788</v>
      </c>
      <c r="E4" s="1">
        <v>4406488.93</v>
      </c>
      <c r="F4">
        <v>11.82</v>
      </c>
    </row>
    <row r="5" spans="1:6" x14ac:dyDescent="0.35">
      <c r="A5" t="s">
        <v>30</v>
      </c>
      <c r="B5" t="s">
        <v>31</v>
      </c>
      <c r="C5">
        <v>35474</v>
      </c>
      <c r="D5">
        <v>318906</v>
      </c>
      <c r="E5" s="1">
        <v>3923819.48</v>
      </c>
      <c r="F5">
        <v>12.43</v>
      </c>
    </row>
    <row r="6" spans="1:6" x14ac:dyDescent="0.35">
      <c r="A6" t="s">
        <v>32</v>
      </c>
      <c r="B6" t="s">
        <v>27</v>
      </c>
      <c r="C6">
        <v>11609</v>
      </c>
      <c r="D6">
        <v>173944</v>
      </c>
      <c r="E6" s="1">
        <v>3774346.27</v>
      </c>
      <c r="F6">
        <v>21.48</v>
      </c>
    </row>
    <row r="7" spans="1:6" x14ac:dyDescent="0.35">
      <c r="A7" t="s">
        <v>11</v>
      </c>
      <c r="B7" t="s">
        <v>10</v>
      </c>
      <c r="C7">
        <v>6779</v>
      </c>
      <c r="D7">
        <v>128260</v>
      </c>
      <c r="E7" s="1">
        <v>3430430.06</v>
      </c>
      <c r="F7">
        <v>26.75</v>
      </c>
    </row>
    <row r="8" spans="1:6" x14ac:dyDescent="0.35">
      <c r="A8" t="s">
        <v>19</v>
      </c>
      <c r="B8" t="s">
        <v>10</v>
      </c>
      <c r="C8">
        <v>16128</v>
      </c>
      <c r="D8">
        <v>235412</v>
      </c>
      <c r="E8" s="1">
        <v>3118750.08</v>
      </c>
      <c r="F8">
        <v>13.25</v>
      </c>
    </row>
    <row r="9" spans="1:6" x14ac:dyDescent="0.35">
      <c r="A9" t="s">
        <v>33</v>
      </c>
      <c r="B9" t="s">
        <v>34</v>
      </c>
      <c r="C9">
        <v>11428</v>
      </c>
      <c r="D9">
        <v>114930</v>
      </c>
      <c r="E9" s="1">
        <v>2601938.31</v>
      </c>
      <c r="F9">
        <v>23.62</v>
      </c>
    </row>
    <row r="10" spans="1:6" x14ac:dyDescent="0.35">
      <c r="A10" t="s">
        <v>35</v>
      </c>
      <c r="B10" t="s">
        <v>36</v>
      </c>
      <c r="C10">
        <v>12633</v>
      </c>
      <c r="D10">
        <v>107931</v>
      </c>
      <c r="E10" s="1">
        <v>2419157.02</v>
      </c>
      <c r="F10">
        <v>21.78</v>
      </c>
    </row>
    <row r="11" spans="1:6" x14ac:dyDescent="0.35">
      <c r="A11" t="s">
        <v>37</v>
      </c>
      <c r="B11" t="s">
        <v>38</v>
      </c>
      <c r="C11">
        <v>7727</v>
      </c>
      <c r="D11">
        <v>80555</v>
      </c>
      <c r="E11" s="1">
        <v>2117430.9500000002</v>
      </c>
      <c r="F11">
        <v>25.78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BF47-C9EE-432F-B85A-97D2053BCBE0}">
  <dimension ref="A1:B6"/>
  <sheetViews>
    <sheetView zoomScale="85" workbookViewId="0">
      <selection activeCell="A11" sqref="A11"/>
    </sheetView>
  </sheetViews>
  <sheetFormatPr defaultRowHeight="14.5" x14ac:dyDescent="0.35"/>
  <cols>
    <col min="1" max="1" width="31.6328125" bestFit="1" customWidth="1"/>
    <col min="2" max="2" width="18.54296875" bestFit="1" customWidth="1"/>
  </cols>
  <sheetData>
    <row r="1" spans="1:2" x14ac:dyDescent="0.35">
      <c r="A1" s="2" t="s">
        <v>16</v>
      </c>
      <c r="B1" t="s">
        <v>18</v>
      </c>
    </row>
    <row r="2" spans="1:2" x14ac:dyDescent="0.35">
      <c r="A2" s="3" t="s">
        <v>42</v>
      </c>
      <c r="B2" s="1">
        <v>336452.84</v>
      </c>
    </row>
    <row r="3" spans="1:2" x14ac:dyDescent="0.35">
      <c r="A3" s="3" t="s">
        <v>41</v>
      </c>
      <c r="B3" s="1">
        <v>7281922.5499999998</v>
      </c>
    </row>
    <row r="4" spans="1:2" x14ac:dyDescent="0.35">
      <c r="A4" s="3" t="s">
        <v>40</v>
      </c>
      <c r="B4" s="1">
        <v>11539721.75</v>
      </c>
    </row>
    <row r="5" spans="1:2" x14ac:dyDescent="0.35">
      <c r="A5" s="3" t="s">
        <v>10</v>
      </c>
      <c r="B5" s="1">
        <v>28261863.710000001</v>
      </c>
    </row>
    <row r="6" spans="1:2" x14ac:dyDescent="0.35">
      <c r="A6" s="3" t="s">
        <v>17</v>
      </c>
      <c r="B6" s="1">
        <v>47419960.850000001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65AC-76D3-4ED8-BE71-9BEA6E181EDC}">
  <dimension ref="A1:F5"/>
  <sheetViews>
    <sheetView workbookViewId="0">
      <selection activeCell="D1" sqref="D1:D1048576"/>
    </sheetView>
  </sheetViews>
  <sheetFormatPr defaultRowHeight="14.5" x14ac:dyDescent="0.35"/>
  <cols>
    <col min="1" max="1" width="7.81640625" bestFit="1" customWidth="1"/>
    <col min="2" max="2" width="31.6328125" bestFit="1" customWidth="1"/>
    <col min="3" max="3" width="15.6328125" bestFit="1" customWidth="1"/>
    <col min="4" max="4" width="15.26953125" bestFit="1" customWidth="1"/>
    <col min="5" max="5" width="14.1796875" bestFit="1" customWidth="1"/>
    <col min="6" max="6" width="14.08984375" bestFit="1" customWidth="1"/>
  </cols>
  <sheetData>
    <row r="1" spans="1:6" x14ac:dyDescent="0.35">
      <c r="A1" t="s">
        <v>39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>
        <v>1062310</v>
      </c>
      <c r="B2" t="s">
        <v>10</v>
      </c>
      <c r="C2">
        <v>146947</v>
      </c>
      <c r="D2">
        <v>1863381</v>
      </c>
      <c r="E2" s="1">
        <v>28261863.710000001</v>
      </c>
      <c r="F2">
        <v>14.33</v>
      </c>
    </row>
    <row r="3" spans="1:6" x14ac:dyDescent="0.35">
      <c r="A3">
        <v>1062200</v>
      </c>
      <c r="B3" t="s">
        <v>40</v>
      </c>
      <c r="C3">
        <v>112186</v>
      </c>
      <c r="D3">
        <v>1036457</v>
      </c>
      <c r="E3" s="1">
        <v>11539721.75</v>
      </c>
      <c r="F3">
        <v>11.37</v>
      </c>
    </row>
    <row r="4" spans="1:6" x14ac:dyDescent="0.35">
      <c r="A4">
        <v>1062300</v>
      </c>
      <c r="B4" t="s">
        <v>41</v>
      </c>
      <c r="C4">
        <v>74648</v>
      </c>
      <c r="D4">
        <v>554719</v>
      </c>
      <c r="E4" s="1">
        <v>7281922.5499999998</v>
      </c>
      <c r="F4">
        <v>12.66</v>
      </c>
    </row>
    <row r="5" spans="1:6" x14ac:dyDescent="0.35">
      <c r="A5">
        <v>1062100</v>
      </c>
      <c r="B5" t="s">
        <v>42</v>
      </c>
      <c r="C5">
        <v>4062</v>
      </c>
      <c r="D5">
        <v>20648</v>
      </c>
      <c r="E5" s="1">
        <v>336452.84</v>
      </c>
      <c r="F5">
        <v>16.03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E99B-9747-48D7-A7A7-D176226D169C}">
  <dimension ref="A1:B7"/>
  <sheetViews>
    <sheetView workbookViewId="0">
      <selection activeCell="B16" sqref="B16"/>
    </sheetView>
  </sheetViews>
  <sheetFormatPr defaultRowHeight="14.5" x14ac:dyDescent="0.35"/>
  <cols>
    <col min="1" max="1" width="18" bestFit="1" customWidth="1"/>
    <col min="2" max="2" width="18.54296875" bestFit="1" customWidth="1"/>
  </cols>
  <sheetData>
    <row r="1" spans="1:2" x14ac:dyDescent="0.35">
      <c r="A1" s="2" t="s">
        <v>16</v>
      </c>
      <c r="B1" t="s">
        <v>18</v>
      </c>
    </row>
    <row r="2" spans="1:2" x14ac:dyDescent="0.35">
      <c r="A2" s="3" t="s">
        <v>44</v>
      </c>
      <c r="B2" s="1">
        <v>3357117.34</v>
      </c>
    </row>
    <row r="3" spans="1:2" x14ac:dyDescent="0.35">
      <c r="A3" s="3" t="s">
        <v>31</v>
      </c>
      <c r="B3" s="1">
        <v>4541340.1500000004</v>
      </c>
    </row>
    <row r="4" spans="1:2" x14ac:dyDescent="0.35">
      <c r="A4" s="3" t="s">
        <v>29</v>
      </c>
      <c r="B4" s="1">
        <v>8689907.8699999992</v>
      </c>
    </row>
    <row r="5" spans="1:2" x14ac:dyDescent="0.35">
      <c r="A5" s="3" t="s">
        <v>27</v>
      </c>
      <c r="B5" s="1">
        <v>14677374.449999999</v>
      </c>
    </row>
    <row r="6" spans="1:2" x14ac:dyDescent="0.35">
      <c r="A6" s="3" t="s">
        <v>10</v>
      </c>
      <c r="B6" s="1">
        <v>21801690.48</v>
      </c>
    </row>
    <row r="7" spans="1:2" x14ac:dyDescent="0.35">
      <c r="A7" s="3" t="s">
        <v>17</v>
      </c>
      <c r="B7" s="1">
        <v>53067430.289999999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5578-56EC-4435-986D-4802F2F6B6F8}">
  <dimension ref="A1:C6"/>
  <sheetViews>
    <sheetView workbookViewId="0">
      <selection activeCell="E4" sqref="E4"/>
    </sheetView>
  </sheetViews>
  <sheetFormatPr defaultRowHeight="14.5" x14ac:dyDescent="0.35"/>
  <cols>
    <col min="1" max="1" width="10.08984375" bestFit="1" customWidth="1"/>
    <col min="2" max="2" width="18" bestFit="1" customWidth="1"/>
    <col min="3" max="3" width="14.1796875" bestFit="1" customWidth="1"/>
  </cols>
  <sheetData>
    <row r="1" spans="1:3" x14ac:dyDescent="0.35">
      <c r="A1" t="s">
        <v>43</v>
      </c>
      <c r="B1" t="s">
        <v>1</v>
      </c>
      <c r="C1" t="s">
        <v>7</v>
      </c>
    </row>
    <row r="2" spans="1:3" x14ac:dyDescent="0.35">
      <c r="A2">
        <v>1062310</v>
      </c>
      <c r="B2" t="s">
        <v>10</v>
      </c>
      <c r="C2" s="1">
        <v>21801690.48</v>
      </c>
    </row>
    <row r="3" spans="1:3" x14ac:dyDescent="0.35">
      <c r="A3">
        <v>1012100</v>
      </c>
      <c r="B3" t="s">
        <v>27</v>
      </c>
      <c r="C3" s="1">
        <v>14677374.449999999</v>
      </c>
    </row>
    <row r="4" spans="1:3" x14ac:dyDescent="0.35">
      <c r="A4">
        <v>1031080</v>
      </c>
      <c r="B4" t="s">
        <v>29</v>
      </c>
      <c r="C4" s="1">
        <v>8689907.8699999992</v>
      </c>
    </row>
    <row r="5" spans="1:3" x14ac:dyDescent="0.35">
      <c r="A5">
        <v>1011100</v>
      </c>
      <c r="B5" t="s">
        <v>31</v>
      </c>
      <c r="C5" s="1">
        <v>4541340.1500000004</v>
      </c>
    </row>
    <row r="6" spans="1:3" x14ac:dyDescent="0.35">
      <c r="A6">
        <v>1012200</v>
      </c>
      <c r="B6" t="s">
        <v>44</v>
      </c>
      <c r="C6" s="1">
        <v>3357117.34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D778-A42F-4288-A599-A66B371DC53D}">
  <dimension ref="A1:B12"/>
  <sheetViews>
    <sheetView zoomScale="83" zoomScaleNormal="83" workbookViewId="0">
      <selection sqref="A1:XFD1048576"/>
    </sheetView>
  </sheetViews>
  <sheetFormatPr defaultRowHeight="14.5" x14ac:dyDescent="0.35"/>
  <cols>
    <col min="1" max="1" width="30.1796875" bestFit="1" customWidth="1"/>
    <col min="2" max="2" width="18.54296875" bestFit="1" customWidth="1"/>
  </cols>
  <sheetData>
    <row r="1" spans="1:2" x14ac:dyDescent="0.35">
      <c r="A1" s="2" t="s">
        <v>16</v>
      </c>
      <c r="B1" t="s">
        <v>18</v>
      </c>
    </row>
    <row r="2" spans="1:2" x14ac:dyDescent="0.35">
      <c r="A2" s="3" t="s">
        <v>65</v>
      </c>
      <c r="B2" s="1">
        <v>631863.57999999996</v>
      </c>
    </row>
    <row r="3" spans="1:2" x14ac:dyDescent="0.35">
      <c r="A3" s="3" t="s">
        <v>67</v>
      </c>
      <c r="B3" s="1">
        <v>694310.8</v>
      </c>
    </row>
    <row r="4" spans="1:2" x14ac:dyDescent="0.35">
      <c r="A4" s="3" t="s">
        <v>68</v>
      </c>
      <c r="B4" s="1">
        <v>705868.63</v>
      </c>
    </row>
    <row r="5" spans="1:2" x14ac:dyDescent="0.35">
      <c r="A5" s="3" t="s">
        <v>69</v>
      </c>
      <c r="B5" s="1">
        <v>813114.01</v>
      </c>
    </row>
    <row r="6" spans="1:2" x14ac:dyDescent="0.35">
      <c r="A6" s="3" t="s">
        <v>57</v>
      </c>
      <c r="B6" s="1">
        <v>852072.45</v>
      </c>
    </row>
    <row r="7" spans="1:2" x14ac:dyDescent="0.35">
      <c r="A7" s="3" t="s">
        <v>70</v>
      </c>
      <c r="B7" s="1">
        <v>1202069.28</v>
      </c>
    </row>
    <row r="8" spans="1:2" x14ac:dyDescent="0.35">
      <c r="A8" s="3" t="s">
        <v>71</v>
      </c>
      <c r="B8" s="1">
        <v>1304648.8799999999</v>
      </c>
    </row>
    <row r="9" spans="1:2" x14ac:dyDescent="0.35">
      <c r="A9" s="3" t="s">
        <v>51</v>
      </c>
      <c r="B9" s="1">
        <v>1505935.25</v>
      </c>
    </row>
    <row r="10" spans="1:2" x14ac:dyDescent="0.35">
      <c r="A10" s="3" t="s">
        <v>49</v>
      </c>
      <c r="B10" s="1">
        <v>2464432.46</v>
      </c>
    </row>
    <row r="11" spans="1:2" x14ac:dyDescent="0.35">
      <c r="A11" s="3" t="s">
        <v>72</v>
      </c>
      <c r="B11" s="1">
        <v>2933981.25</v>
      </c>
    </row>
    <row r="12" spans="1:2" x14ac:dyDescent="0.35">
      <c r="A12" s="3" t="s">
        <v>17</v>
      </c>
      <c r="B12" s="1">
        <v>13108296.589999998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CBBB-87F0-40B2-91A8-2C8F157346BF}">
  <dimension ref="A1:G11"/>
  <sheetViews>
    <sheetView zoomScale="57" workbookViewId="0">
      <selection activeCell="D3" sqref="D3:E3"/>
    </sheetView>
  </sheetViews>
  <sheetFormatPr defaultRowHeight="14.5" x14ac:dyDescent="0.35"/>
  <cols>
    <col min="1" max="1" width="8.81640625" bestFit="1" customWidth="1"/>
    <col min="2" max="2" width="30.1796875" bestFit="1" customWidth="1"/>
    <col min="3" max="3" width="42.6328125" bestFit="1" customWidth="1"/>
    <col min="4" max="4" width="16.36328125" bestFit="1" customWidth="1"/>
    <col min="5" max="5" width="16.1796875" bestFit="1" customWidth="1"/>
    <col min="6" max="6" width="14.26953125" bestFit="1" customWidth="1"/>
    <col min="7" max="7" width="14.6328125" bestFit="1" customWidth="1"/>
  </cols>
  <sheetData>
    <row r="1" spans="1:7" x14ac:dyDescent="0.35">
      <c r="A1" t="s">
        <v>45</v>
      </c>
      <c r="B1" t="s">
        <v>45</v>
      </c>
      <c r="C1" t="s">
        <v>46</v>
      </c>
      <c r="D1" t="s">
        <v>5</v>
      </c>
      <c r="E1" t="s">
        <v>6</v>
      </c>
      <c r="F1" t="s">
        <v>7</v>
      </c>
      <c r="G1" t="s">
        <v>8</v>
      </c>
    </row>
    <row r="2" spans="1:7" ht="43.5" x14ac:dyDescent="0.35">
      <c r="A2">
        <v>2633</v>
      </c>
      <c r="B2" t="s">
        <v>47</v>
      </c>
      <c r="C2" s="4" t="s">
        <v>48</v>
      </c>
      <c r="D2">
        <v>4609</v>
      </c>
      <c r="E2">
        <v>137719</v>
      </c>
      <c r="F2" s="1">
        <v>2933981.25</v>
      </c>
      <c r="G2">
        <v>21.49</v>
      </c>
    </row>
    <row r="3" spans="1:7" ht="43.5" x14ac:dyDescent="0.35">
      <c r="A3">
        <v>4829</v>
      </c>
      <c r="B3" t="s">
        <v>49</v>
      </c>
      <c r="C3" s="4" t="s">
        <v>50</v>
      </c>
      <c r="D3">
        <v>4141</v>
      </c>
      <c r="E3">
        <v>114066</v>
      </c>
      <c r="F3" s="1">
        <v>2464432.46</v>
      </c>
      <c r="G3">
        <v>23.8</v>
      </c>
    </row>
    <row r="4" spans="1:7" ht="43.5" x14ac:dyDescent="0.35">
      <c r="A4">
        <v>3814</v>
      </c>
      <c r="B4" t="s">
        <v>51</v>
      </c>
      <c r="C4" s="4" t="s">
        <v>52</v>
      </c>
      <c r="D4">
        <v>771</v>
      </c>
      <c r="E4">
        <v>54674</v>
      </c>
      <c r="F4" s="1">
        <v>1505935.25</v>
      </c>
      <c r="G4">
        <v>27.93</v>
      </c>
    </row>
    <row r="5" spans="1:7" ht="43.5" x14ac:dyDescent="0.35">
      <c r="A5">
        <v>3420</v>
      </c>
      <c r="B5" t="s">
        <v>53</v>
      </c>
      <c r="C5" s="4" t="s">
        <v>54</v>
      </c>
      <c r="D5">
        <v>1211</v>
      </c>
      <c r="E5">
        <v>56388</v>
      </c>
      <c r="F5" s="1">
        <v>1304648.8799999999</v>
      </c>
      <c r="G5">
        <v>22.37</v>
      </c>
    </row>
    <row r="6" spans="1:7" ht="43.5" x14ac:dyDescent="0.35">
      <c r="A6">
        <v>3385</v>
      </c>
      <c r="B6" t="s">
        <v>55</v>
      </c>
      <c r="C6" s="4" t="s">
        <v>56</v>
      </c>
      <c r="D6">
        <v>1178</v>
      </c>
      <c r="E6">
        <v>53199</v>
      </c>
      <c r="F6" s="1">
        <v>1202069.28</v>
      </c>
      <c r="G6">
        <v>23.93</v>
      </c>
    </row>
    <row r="7" spans="1:7" ht="43.5" x14ac:dyDescent="0.35">
      <c r="A7">
        <v>3952</v>
      </c>
      <c r="B7" t="s">
        <v>57</v>
      </c>
      <c r="C7" s="4" t="s">
        <v>58</v>
      </c>
      <c r="D7">
        <v>2079</v>
      </c>
      <c r="E7">
        <v>40326</v>
      </c>
      <c r="F7" s="1">
        <v>852072.45</v>
      </c>
      <c r="G7">
        <v>24.22</v>
      </c>
    </row>
    <row r="8" spans="1:7" ht="43.5" x14ac:dyDescent="0.35">
      <c r="A8">
        <v>2512</v>
      </c>
      <c r="B8" t="s">
        <v>59</v>
      </c>
      <c r="C8" s="4" t="s">
        <v>60</v>
      </c>
      <c r="D8">
        <v>3219</v>
      </c>
      <c r="E8">
        <v>42562</v>
      </c>
      <c r="F8" s="1">
        <v>813114.01</v>
      </c>
      <c r="G8">
        <v>20.440000000000001</v>
      </c>
    </row>
    <row r="9" spans="1:7" ht="43.5" x14ac:dyDescent="0.35">
      <c r="A9">
        <v>4677</v>
      </c>
      <c r="B9" t="s">
        <v>61</v>
      </c>
      <c r="C9" s="4" t="s">
        <v>62</v>
      </c>
      <c r="D9">
        <v>500</v>
      </c>
      <c r="E9">
        <v>27356</v>
      </c>
      <c r="F9" s="1">
        <v>705868.63</v>
      </c>
      <c r="G9">
        <v>27.18</v>
      </c>
    </row>
    <row r="10" spans="1:7" ht="43.5" x14ac:dyDescent="0.35">
      <c r="A10">
        <v>3354</v>
      </c>
      <c r="B10" t="s">
        <v>63</v>
      </c>
      <c r="C10" s="4" t="s">
        <v>64</v>
      </c>
      <c r="D10">
        <v>980</v>
      </c>
      <c r="E10">
        <v>31576</v>
      </c>
      <c r="F10" s="1">
        <v>694310.8</v>
      </c>
      <c r="G10">
        <v>21.01</v>
      </c>
    </row>
    <row r="11" spans="1:7" ht="43.5" x14ac:dyDescent="0.35">
      <c r="A11">
        <v>3773</v>
      </c>
      <c r="B11" t="s">
        <v>65</v>
      </c>
      <c r="C11" s="4" t="s">
        <v>66</v>
      </c>
      <c r="D11">
        <v>1758</v>
      </c>
      <c r="E11">
        <v>30393</v>
      </c>
      <c r="F11" s="1">
        <v>631863.57999999996</v>
      </c>
      <c r="G11">
        <v>24.93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F690-FD4F-4441-A2BA-512C69D7B41F}">
  <dimension ref="A1:D7"/>
  <sheetViews>
    <sheetView workbookViewId="0">
      <selection sqref="A1:XFD1048576"/>
    </sheetView>
  </sheetViews>
  <sheetFormatPr defaultRowHeight="14.5" x14ac:dyDescent="0.35"/>
  <cols>
    <col min="1" max="1" width="31.6328125" bestFit="1" customWidth="1"/>
    <col min="2" max="2" width="15.6328125" bestFit="1" customWidth="1"/>
    <col min="3" max="3" width="14.81640625" bestFit="1" customWidth="1"/>
    <col min="4" max="6" width="14.1796875" bestFit="1" customWidth="1"/>
  </cols>
  <sheetData>
    <row r="1" spans="1:4" x14ac:dyDescent="0.35">
      <c r="A1" s="2" t="s">
        <v>18</v>
      </c>
      <c r="B1" s="2" t="s">
        <v>76</v>
      </c>
    </row>
    <row r="2" spans="1:4" x14ac:dyDescent="0.35">
      <c r="A2" s="2" t="s">
        <v>16</v>
      </c>
      <c r="B2" t="s">
        <v>74</v>
      </c>
      <c r="C2" t="s">
        <v>75</v>
      </c>
      <c r="D2" t="s">
        <v>17</v>
      </c>
    </row>
    <row r="3" spans="1:4" x14ac:dyDescent="0.35">
      <c r="A3" s="3" t="s">
        <v>42</v>
      </c>
      <c r="B3" s="1">
        <v>126501.9</v>
      </c>
      <c r="C3" s="1">
        <v>209950.94</v>
      </c>
      <c r="D3" s="1">
        <v>336452.83999999997</v>
      </c>
    </row>
    <row r="4" spans="1:4" x14ac:dyDescent="0.35">
      <c r="A4" s="3" t="s">
        <v>41</v>
      </c>
      <c r="B4" s="1">
        <v>6840471.9500000002</v>
      </c>
      <c r="C4" s="1">
        <v>441450.6</v>
      </c>
      <c r="D4" s="1">
        <v>7281922.5499999998</v>
      </c>
    </row>
    <row r="5" spans="1:4" x14ac:dyDescent="0.35">
      <c r="A5" s="3" t="s">
        <v>40</v>
      </c>
      <c r="B5" s="1">
        <v>11007270.4</v>
      </c>
      <c r="C5" s="1">
        <v>532451.35</v>
      </c>
      <c r="D5" s="1">
        <v>11539721.75</v>
      </c>
    </row>
    <row r="6" spans="1:4" x14ac:dyDescent="0.35">
      <c r="A6" s="3" t="s">
        <v>10</v>
      </c>
      <c r="B6" s="1">
        <v>6460173.2300000004</v>
      </c>
      <c r="C6" s="1">
        <v>21801690.48</v>
      </c>
      <c r="D6" s="1">
        <v>28261863.710000001</v>
      </c>
    </row>
    <row r="7" spans="1:4" x14ac:dyDescent="0.35">
      <c r="A7" s="3" t="s">
        <v>17</v>
      </c>
      <c r="B7" s="1">
        <v>24434417.48</v>
      </c>
      <c r="C7" s="1">
        <v>22985543.370000001</v>
      </c>
      <c r="D7" s="1">
        <v>47419960.850000001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AB6B-C5AA-417D-898F-7723319E4412}">
  <dimension ref="A1:F9"/>
  <sheetViews>
    <sheetView workbookViewId="0">
      <selection activeCell="F1" sqref="F1:F1048576"/>
    </sheetView>
  </sheetViews>
  <sheetFormatPr defaultRowHeight="14.5" x14ac:dyDescent="0.35"/>
  <cols>
    <col min="1" max="1" width="14.90625" bestFit="1" customWidth="1"/>
    <col min="2" max="2" width="31.6328125" bestFit="1" customWidth="1"/>
    <col min="3" max="3" width="15.6328125" bestFit="1" customWidth="1"/>
    <col min="4" max="4" width="15.26953125" bestFit="1" customWidth="1"/>
    <col min="5" max="5" width="14.1796875" bestFit="1" customWidth="1"/>
    <col min="6" max="6" width="14.08984375" bestFit="1" customWidth="1"/>
  </cols>
  <sheetData>
    <row r="1" spans="1:6" x14ac:dyDescent="0.35">
      <c r="A1" t="s">
        <v>73</v>
      </c>
      <c r="B1" t="s">
        <v>39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74</v>
      </c>
      <c r="B2" t="s">
        <v>41</v>
      </c>
      <c r="C2">
        <v>67160</v>
      </c>
      <c r="D2">
        <v>517192</v>
      </c>
      <c r="E2" s="1">
        <v>6840471.9500000002</v>
      </c>
      <c r="F2">
        <v>12.76</v>
      </c>
    </row>
    <row r="3" spans="1:6" x14ac:dyDescent="0.35">
      <c r="A3" t="s">
        <v>75</v>
      </c>
      <c r="B3" t="s">
        <v>41</v>
      </c>
      <c r="C3">
        <v>7488</v>
      </c>
      <c r="D3">
        <v>37527</v>
      </c>
      <c r="E3" s="1">
        <v>441450.6</v>
      </c>
      <c r="F3">
        <v>11.78</v>
      </c>
    </row>
    <row r="4" spans="1:6" x14ac:dyDescent="0.35">
      <c r="A4" t="s">
        <v>75</v>
      </c>
      <c r="B4" t="s">
        <v>42</v>
      </c>
      <c r="C4">
        <v>2320</v>
      </c>
      <c r="D4">
        <v>12626</v>
      </c>
      <c r="E4" s="1">
        <v>209950.94</v>
      </c>
      <c r="F4">
        <v>16.16</v>
      </c>
    </row>
    <row r="5" spans="1:6" x14ac:dyDescent="0.35">
      <c r="A5" t="s">
        <v>74</v>
      </c>
      <c r="B5" t="s">
        <v>42</v>
      </c>
      <c r="C5">
        <v>1742</v>
      </c>
      <c r="D5">
        <v>8022</v>
      </c>
      <c r="E5" s="1">
        <v>126501.9</v>
      </c>
      <c r="F5">
        <v>15.85</v>
      </c>
    </row>
    <row r="6" spans="1:6" x14ac:dyDescent="0.35">
      <c r="A6" t="s">
        <v>74</v>
      </c>
      <c r="B6" t="s">
        <v>40</v>
      </c>
      <c r="C6">
        <v>107920</v>
      </c>
      <c r="D6">
        <v>1000544</v>
      </c>
      <c r="E6" s="1">
        <v>11007270.4</v>
      </c>
      <c r="F6">
        <v>11.25</v>
      </c>
    </row>
    <row r="7" spans="1:6" x14ac:dyDescent="0.35">
      <c r="A7" t="s">
        <v>75</v>
      </c>
      <c r="B7" t="s">
        <v>40</v>
      </c>
      <c r="C7">
        <v>4266</v>
      </c>
      <c r="D7">
        <v>35913</v>
      </c>
      <c r="E7" s="1">
        <v>532451.35</v>
      </c>
      <c r="F7">
        <v>14.42</v>
      </c>
    </row>
    <row r="8" spans="1:6" x14ac:dyDescent="0.35">
      <c r="A8" t="s">
        <v>75</v>
      </c>
      <c r="B8" t="s">
        <v>10</v>
      </c>
      <c r="C8">
        <v>87523</v>
      </c>
      <c r="D8">
        <v>1339816</v>
      </c>
      <c r="E8" s="1">
        <v>21801690.48</v>
      </c>
      <c r="F8">
        <v>15.38</v>
      </c>
    </row>
    <row r="9" spans="1:6" x14ac:dyDescent="0.35">
      <c r="A9" t="s">
        <v>74</v>
      </c>
      <c r="B9" t="s">
        <v>10</v>
      </c>
      <c r="C9">
        <v>59424</v>
      </c>
      <c r="D9">
        <v>523565</v>
      </c>
      <c r="E9" s="1">
        <v>6460173.2300000004</v>
      </c>
      <c r="F9">
        <v>12.8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9291-D668-4300-846E-96FC0235ABA9}">
  <dimension ref="A1:B6"/>
  <sheetViews>
    <sheetView workbookViewId="0">
      <selection activeCell="I22" sqref="I22"/>
    </sheetView>
  </sheetViews>
  <sheetFormatPr defaultRowHeight="14.5" x14ac:dyDescent="0.35"/>
  <cols>
    <col min="1" max="1" width="12.453125" bestFit="1" customWidth="1"/>
    <col min="2" max="2" width="18.54296875" bestFit="1" customWidth="1"/>
  </cols>
  <sheetData>
    <row r="1" spans="1:2" x14ac:dyDescent="0.35">
      <c r="A1" s="2" t="s">
        <v>16</v>
      </c>
      <c r="B1" t="s">
        <v>82</v>
      </c>
    </row>
    <row r="2" spans="1:2" x14ac:dyDescent="0.35">
      <c r="A2" s="3" t="s">
        <v>77</v>
      </c>
      <c r="B2">
        <v>24954306.66</v>
      </c>
    </row>
    <row r="3" spans="1:2" x14ac:dyDescent="0.35">
      <c r="A3" s="3" t="s">
        <v>78</v>
      </c>
      <c r="B3">
        <v>24269652.82</v>
      </c>
    </row>
    <row r="4" spans="1:2" x14ac:dyDescent="0.35">
      <c r="A4" s="3" t="s">
        <v>79</v>
      </c>
      <c r="B4">
        <v>13950913.369999999</v>
      </c>
    </row>
    <row r="5" spans="1:2" x14ac:dyDescent="0.35">
      <c r="A5" s="3" t="s">
        <v>80</v>
      </c>
      <c r="B5">
        <v>12637297.039999999</v>
      </c>
    </row>
    <row r="6" spans="1:2" x14ac:dyDescent="0.35">
      <c r="A6" s="3" t="s">
        <v>17</v>
      </c>
      <c r="B6">
        <v>75812169.890000001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6EA7-CE35-4B17-8648-B6A8B2570612}">
  <dimension ref="A1:D5"/>
  <sheetViews>
    <sheetView workbookViewId="0">
      <selection activeCell="E9" sqref="E9"/>
    </sheetView>
  </sheetViews>
  <sheetFormatPr defaultRowHeight="14.5" x14ac:dyDescent="0.35"/>
  <cols>
    <col min="2" max="2" width="15.6328125" bestFit="1" customWidth="1"/>
    <col min="3" max="3" width="15.26953125" bestFit="1" customWidth="1"/>
    <col min="4" max="4" width="11.81640625" bestFit="1" customWidth="1"/>
  </cols>
  <sheetData>
    <row r="1" spans="1:4" x14ac:dyDescent="0.35">
      <c r="A1" t="s">
        <v>81</v>
      </c>
      <c r="B1" t="s">
        <v>5</v>
      </c>
      <c r="C1" t="s">
        <v>6</v>
      </c>
      <c r="D1" t="s">
        <v>7</v>
      </c>
    </row>
    <row r="2" spans="1:4" x14ac:dyDescent="0.35">
      <c r="A2" t="s">
        <v>77</v>
      </c>
      <c r="B2">
        <v>155972</v>
      </c>
      <c r="C2">
        <v>1448942</v>
      </c>
      <c r="D2">
        <v>24954306.66</v>
      </c>
    </row>
    <row r="3" spans="1:4" x14ac:dyDescent="0.35">
      <c r="A3" t="s">
        <v>78</v>
      </c>
      <c r="B3">
        <v>144387</v>
      </c>
      <c r="C3">
        <v>1405489</v>
      </c>
      <c r="D3">
        <v>24269652.82</v>
      </c>
    </row>
    <row r="4" spans="1:4" x14ac:dyDescent="0.35">
      <c r="A4" t="s">
        <v>79</v>
      </c>
      <c r="B4">
        <v>88354</v>
      </c>
      <c r="C4">
        <v>816659</v>
      </c>
      <c r="D4">
        <v>13950913.369999999</v>
      </c>
    </row>
    <row r="5" spans="1:4" x14ac:dyDescent="0.35">
      <c r="A5" t="s">
        <v>80</v>
      </c>
      <c r="B5">
        <v>68320</v>
      </c>
      <c r="C5">
        <v>706385</v>
      </c>
      <c r="D5">
        <v>12637297.039999999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D72E-1316-42C1-8069-2E83CF783A0C}">
  <dimension ref="A1:G6"/>
  <sheetViews>
    <sheetView workbookViewId="0">
      <selection activeCell="A3" sqref="A3"/>
    </sheetView>
  </sheetViews>
  <sheetFormatPr defaultRowHeight="14.5" x14ac:dyDescent="0.35"/>
  <cols>
    <col min="1" max="1" width="10.08984375" bestFit="1" customWidth="1"/>
    <col min="2" max="2" width="9.36328125" bestFit="1" customWidth="1"/>
    <col min="3" max="3" width="15.6328125" bestFit="1" customWidth="1"/>
    <col min="4" max="4" width="15.26953125" bestFit="1" customWidth="1"/>
    <col min="5" max="5" width="13.1796875" bestFit="1" customWidth="1"/>
    <col min="7" max="7" width="16.7265625" bestFit="1" customWidth="1"/>
  </cols>
  <sheetData>
    <row r="1" spans="1:7" x14ac:dyDescent="0.35">
      <c r="A1" t="s">
        <v>83</v>
      </c>
      <c r="B1" t="s">
        <v>84</v>
      </c>
      <c r="C1" t="s">
        <v>5</v>
      </c>
      <c r="D1" t="s">
        <v>6</v>
      </c>
      <c r="E1" t="s">
        <v>7</v>
      </c>
      <c r="F1" t="s">
        <v>8</v>
      </c>
      <c r="G1" t="s">
        <v>85</v>
      </c>
    </row>
    <row r="2" spans="1:7" x14ac:dyDescent="0.35">
      <c r="A2" t="s">
        <v>86</v>
      </c>
      <c r="B2">
        <v>430640</v>
      </c>
      <c r="C2">
        <v>23763</v>
      </c>
      <c r="D2">
        <v>337194</v>
      </c>
      <c r="E2" s="1">
        <v>4952483.5999999996</v>
      </c>
      <c r="F2">
        <v>13.71</v>
      </c>
      <c r="G2">
        <v>11.5</v>
      </c>
    </row>
    <row r="3" spans="1:7" x14ac:dyDescent="0.35">
      <c r="A3" t="s">
        <v>87</v>
      </c>
      <c r="B3">
        <v>211226</v>
      </c>
      <c r="C3">
        <v>12196</v>
      </c>
      <c r="D3">
        <v>169759</v>
      </c>
      <c r="E3" s="1">
        <v>2455756.4900000002</v>
      </c>
      <c r="F3">
        <v>13.28</v>
      </c>
      <c r="G3">
        <v>11.63</v>
      </c>
    </row>
    <row r="4" spans="1:7" x14ac:dyDescent="0.35">
      <c r="A4" t="s">
        <v>88</v>
      </c>
      <c r="B4">
        <v>165224</v>
      </c>
      <c r="C4">
        <v>7524</v>
      </c>
      <c r="D4">
        <v>116715</v>
      </c>
      <c r="E4" s="1">
        <v>1669508.01</v>
      </c>
      <c r="F4">
        <v>13.53</v>
      </c>
      <c r="G4">
        <v>10.1</v>
      </c>
    </row>
    <row r="5" spans="1:7" x14ac:dyDescent="0.35">
      <c r="A5" t="s">
        <v>89</v>
      </c>
      <c r="B5">
        <v>131090</v>
      </c>
      <c r="C5">
        <v>6976</v>
      </c>
      <c r="D5">
        <v>110410</v>
      </c>
      <c r="E5" s="1">
        <v>1635200.16</v>
      </c>
      <c r="F5">
        <v>14.29</v>
      </c>
      <c r="G5">
        <v>12.47</v>
      </c>
    </row>
    <row r="6" spans="1:7" x14ac:dyDescent="0.35">
      <c r="A6" t="s">
        <v>90</v>
      </c>
      <c r="B6">
        <v>130882</v>
      </c>
      <c r="C6">
        <v>7447</v>
      </c>
      <c r="D6">
        <v>86235</v>
      </c>
      <c r="E6" s="1">
        <v>1298884.45</v>
      </c>
      <c r="F6">
        <v>14.03</v>
      </c>
      <c r="G6">
        <v>9.92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7277-B4EA-4BE1-85D0-A5CB96828E4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767F-EEBF-486C-BB35-D785A70EA643}">
  <dimension ref="A1:F20"/>
  <sheetViews>
    <sheetView workbookViewId="0">
      <selection activeCell="H13" sqref="H13"/>
    </sheetView>
  </sheetViews>
  <sheetFormatPr defaultRowHeight="14.5" x14ac:dyDescent="0.35"/>
  <cols>
    <col min="1" max="1" width="27" bestFit="1" customWidth="1"/>
    <col min="2" max="2" width="13.26953125" bestFit="1" customWidth="1"/>
    <col min="3" max="3" width="15.6328125" bestFit="1" customWidth="1"/>
    <col min="4" max="4" width="15.26953125" bestFit="1" customWidth="1"/>
    <col min="5" max="5" width="14.1796875" bestFit="1" customWidth="1"/>
    <col min="6" max="6" width="14.08984375" bestFit="1" customWidth="1"/>
  </cols>
  <sheetData>
    <row r="1" spans="1:6" x14ac:dyDescent="0.35">
      <c r="A1" t="s">
        <v>91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75</v>
      </c>
      <c r="B2" t="s">
        <v>10</v>
      </c>
      <c r="C2">
        <v>87523</v>
      </c>
      <c r="D2">
        <v>1339816</v>
      </c>
      <c r="E2" s="1">
        <v>21801690.48</v>
      </c>
      <c r="F2">
        <v>15.38</v>
      </c>
    </row>
    <row r="3" spans="1:6" x14ac:dyDescent="0.35">
      <c r="A3" t="s">
        <v>92</v>
      </c>
      <c r="B3" t="s">
        <v>10</v>
      </c>
      <c r="C3">
        <v>33611</v>
      </c>
      <c r="D3">
        <v>331791</v>
      </c>
      <c r="E3" s="1">
        <v>3690515.27</v>
      </c>
      <c r="F3">
        <v>11.36</v>
      </c>
    </row>
    <row r="4" spans="1:6" x14ac:dyDescent="0.35">
      <c r="A4" t="s">
        <v>93</v>
      </c>
      <c r="B4" t="s">
        <v>10</v>
      </c>
      <c r="C4">
        <v>9426</v>
      </c>
      <c r="D4">
        <v>65774</v>
      </c>
      <c r="E4" s="1">
        <v>1012934.81</v>
      </c>
      <c r="F4">
        <v>15.86</v>
      </c>
    </row>
    <row r="5" spans="1:6" x14ac:dyDescent="0.35">
      <c r="A5" t="s">
        <v>94</v>
      </c>
      <c r="B5" t="s">
        <v>10</v>
      </c>
      <c r="C5">
        <v>3928</v>
      </c>
      <c r="D5">
        <v>29182</v>
      </c>
      <c r="E5" s="1">
        <v>391841.09</v>
      </c>
      <c r="F5">
        <v>13.77</v>
      </c>
    </row>
    <row r="6" spans="1:6" x14ac:dyDescent="0.35">
      <c r="A6" t="s">
        <v>95</v>
      </c>
      <c r="B6" t="s">
        <v>10</v>
      </c>
      <c r="C6">
        <v>3689</v>
      </c>
      <c r="D6">
        <v>22957</v>
      </c>
      <c r="E6" s="1">
        <v>374175.02</v>
      </c>
      <c r="F6">
        <v>16.11</v>
      </c>
    </row>
    <row r="16" spans="1:6" x14ac:dyDescent="0.35">
      <c r="A16" t="s">
        <v>96</v>
      </c>
      <c r="B16" t="s">
        <v>10</v>
      </c>
      <c r="C16">
        <v>2540</v>
      </c>
      <c r="D16">
        <v>17233</v>
      </c>
      <c r="E16" s="1">
        <v>179309.34</v>
      </c>
      <c r="F16">
        <v>10.26</v>
      </c>
    </row>
    <row r="17" spans="1:6" x14ac:dyDescent="0.35">
      <c r="A17" t="s">
        <v>97</v>
      </c>
      <c r="B17" t="s">
        <v>10</v>
      </c>
      <c r="C17">
        <v>1167</v>
      </c>
      <c r="D17">
        <v>12949</v>
      </c>
      <c r="E17" s="1">
        <v>175592.36</v>
      </c>
      <c r="F17">
        <v>14.53</v>
      </c>
    </row>
    <row r="18" spans="1:6" x14ac:dyDescent="0.35">
      <c r="A18" t="s">
        <v>98</v>
      </c>
      <c r="B18" t="s">
        <v>10</v>
      </c>
      <c r="C18">
        <v>1178</v>
      </c>
      <c r="D18">
        <v>10829</v>
      </c>
      <c r="E18" s="1">
        <v>162435</v>
      </c>
      <c r="F18">
        <v>15</v>
      </c>
    </row>
    <row r="19" spans="1:6" x14ac:dyDescent="0.35">
      <c r="A19" t="s">
        <v>99</v>
      </c>
      <c r="B19" t="s">
        <v>10</v>
      </c>
      <c r="C19">
        <v>138</v>
      </c>
      <c r="D19">
        <v>4280</v>
      </c>
      <c r="E19" s="1">
        <v>104392.95</v>
      </c>
      <c r="F19">
        <v>24.55</v>
      </c>
    </row>
    <row r="20" spans="1:6" x14ac:dyDescent="0.35">
      <c r="A20" t="s">
        <v>100</v>
      </c>
      <c r="B20" t="s">
        <v>10</v>
      </c>
      <c r="C20">
        <v>843</v>
      </c>
      <c r="D20">
        <v>8017</v>
      </c>
      <c r="E20" s="1">
        <v>87272.26</v>
      </c>
      <c r="F20">
        <v>11.26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E037-8F73-4E45-8676-86E45DCCAAC8}">
  <dimension ref="A2:B9"/>
  <sheetViews>
    <sheetView tabSelected="1" zoomScale="74" workbookViewId="0">
      <selection activeCell="B20" sqref="B20"/>
    </sheetView>
  </sheetViews>
  <sheetFormatPr defaultRowHeight="14.5" x14ac:dyDescent="0.35"/>
  <cols>
    <col min="1" max="1" width="27" bestFit="1" customWidth="1"/>
    <col min="2" max="2" width="15" bestFit="1" customWidth="1"/>
    <col min="3" max="3" width="23.6328125" bestFit="1" customWidth="1"/>
    <col min="4" max="4" width="27.453125" bestFit="1" customWidth="1"/>
    <col min="5" max="5" width="13" bestFit="1" customWidth="1"/>
    <col min="6" max="6" width="11.6328125" bestFit="1" customWidth="1"/>
    <col min="7" max="7" width="14.36328125" bestFit="1" customWidth="1"/>
    <col min="8" max="10" width="28.08984375" bestFit="1" customWidth="1"/>
    <col min="11" max="11" width="27" bestFit="1" customWidth="1"/>
    <col min="12" max="12" width="27.08984375" bestFit="1" customWidth="1"/>
  </cols>
  <sheetData>
    <row r="2" spans="1:2" x14ac:dyDescent="0.35">
      <c r="A2" t="s">
        <v>101</v>
      </c>
      <c r="B2" t="s">
        <v>102</v>
      </c>
    </row>
    <row r="3" spans="1:2" x14ac:dyDescent="0.35">
      <c r="A3" s="2" t="s">
        <v>16</v>
      </c>
      <c r="B3" t="s">
        <v>18</v>
      </c>
    </row>
    <row r="4" spans="1:2" x14ac:dyDescent="0.35">
      <c r="A4" s="3" t="s">
        <v>75</v>
      </c>
      <c r="B4" s="1">
        <v>21801690.48</v>
      </c>
    </row>
    <row r="5" spans="1:2" x14ac:dyDescent="0.35">
      <c r="A5" s="3" t="s">
        <v>92</v>
      </c>
      <c r="B5" s="1">
        <v>3690515.27</v>
      </c>
    </row>
    <row r="6" spans="1:2" x14ac:dyDescent="0.35">
      <c r="A6" s="3" t="s">
        <v>93</v>
      </c>
      <c r="B6" s="1">
        <v>1012934.81</v>
      </c>
    </row>
    <row r="7" spans="1:2" x14ac:dyDescent="0.35">
      <c r="A7" s="3" t="s">
        <v>94</v>
      </c>
      <c r="B7" s="1">
        <v>391841.09</v>
      </c>
    </row>
    <row r="8" spans="1:2" x14ac:dyDescent="0.35">
      <c r="A8" s="3" t="s">
        <v>95</v>
      </c>
      <c r="B8" s="1">
        <v>374175.02</v>
      </c>
    </row>
    <row r="9" spans="1:2" x14ac:dyDescent="0.35">
      <c r="A9" s="3" t="s">
        <v>17</v>
      </c>
      <c r="B9" s="1">
        <v>27271156.669999998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CaptainMorganGraph</vt:lpstr>
      <vt:lpstr>CaptainMorgan</vt:lpstr>
      <vt:lpstr>TopProductsGraph</vt:lpstr>
      <vt:lpstr>TopProducts</vt:lpstr>
      <vt:lpstr>CatByRevGraph</vt:lpstr>
      <vt:lpstr>CategoriesByRev</vt:lpstr>
      <vt:lpstr>RevPerCatGraph</vt:lpstr>
      <vt:lpstr>RevPerCat</vt:lpstr>
      <vt:lpstr>TopStoresGraph</vt:lpstr>
      <vt:lpstr>TopStores</vt:lpstr>
      <vt:lpstr>VsVendorsGraph</vt:lpstr>
      <vt:lpstr>VsVendors</vt:lpstr>
      <vt:lpstr>QSalesGraph</vt:lpstr>
      <vt:lpstr>QSales</vt:lpstr>
      <vt:lpstr>PerCapita</vt:lpstr>
      <vt:lpstr>PerCapitaGraph</vt:lpstr>
      <vt:lpstr>VendorsSpicedRum</vt:lpstr>
      <vt:lpstr>VendorsSpicedRumGraph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osorio</cp:lastModifiedBy>
  <dcterms:created xsi:type="dcterms:W3CDTF">2026-05-01T16:37:37Z</dcterms:created>
  <dcterms:modified xsi:type="dcterms:W3CDTF">2026-05-02T22:28:59Z</dcterms:modified>
</cp:coreProperties>
</file>